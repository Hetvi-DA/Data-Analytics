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PRACTICAL TASKS/"/>
    </mc:Choice>
  </mc:AlternateContent>
  <xr:revisionPtr revIDLastSave="0" documentId="8_{CEF3B0CF-A91C-4A36-886E-1E34C8AE3BC1}" xr6:coauthVersionLast="47" xr6:coauthVersionMax="47" xr10:uidLastSave="{00000000-0000-0000-0000-000000000000}"/>
  <bookViews>
    <workbookView xWindow="-120" yWindow="-120" windowWidth="29040" windowHeight="15720" xr2:uid="{48B1A78F-CBDB-4C9F-9E4B-F99797D2B14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6" i="3" l="1"/>
  <c r="L7" i="3"/>
  <c r="O6" i="3"/>
  <c r="N6" i="3"/>
  <c r="L6" i="3"/>
  <c r="C10" i="2"/>
  <c r="D9" i="2"/>
  <c r="C9" i="2"/>
  <c r="E9" i="2" s="1"/>
  <c r="P9" i="1"/>
  <c r="O9" i="1"/>
  <c r="N9" i="1"/>
  <c r="L9" i="1"/>
  <c r="M9" i="1"/>
  <c r="K9" i="1"/>
</calcChain>
</file>

<file path=xl/sharedStrings.xml><?xml version="1.0" encoding="utf-8"?>
<sst xmlns="http://schemas.openxmlformats.org/spreadsheetml/2006/main" count="156" uniqueCount="40">
  <si>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</si>
  <si>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</si>
  <si>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</si>
  <si>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</si>
  <si>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</si>
  <si>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</si>
  <si>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</si>
  <si>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</si>
  <si>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</si>
  <si>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</si>
  <si>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</si>
  <si>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</si>
  <si>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</si>
  <si>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</si>
  <si>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</si>
  <si>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</si>
  <si>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</si>
  <si>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</si>
  <si>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</si>
  <si>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</si>
  <si>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</si>
  <si>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</si>
  <si>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</si>
  <si>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</si>
  <si>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</si>
  <si>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</si>
  <si>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</si>
  <si>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</si>
  <si>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</si>
  <si>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</si>
  <si>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</si>
  <si>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</si>
  <si>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</si>
  <si>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</si>
  <si>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Employee ID</t>
  </si>
  <si>
    <t xml:space="preserve">Employee ID </t>
  </si>
  <si>
    <t>Joining Year</t>
  </si>
  <si>
    <t>Bonus</t>
  </si>
  <si>
    <t>Bonus Amount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</si>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</sst>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ill="1"/>
    <xf numFmtId="0" fontId="0" fillId="2" borderId="1" xfId="0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4" borderId="2" xfId="0" applyFill="1" applyBorder="1"/>
    <xf numFmtId="0" fontId="0" fillId="4" borderId="3" xfId="0" applyFill="1" applyBorder="1"/>
    <xf numFmtId="0" fontId="2" fillId="2" borderId="2" xfId="0" applyFont="1" applyFill="1" applyBorder="1" applyAlignment="1">
      <alignment horizontal="right" vertical="center" wrapText="1" indent="1"/>
    </xf>
    <xf numFmtId="9" fontId="3" fillId="2" borderId="2" xfId="0" applyNumberFormat="1" applyFont="1" applyFill="1" applyBorder="1" applyAlignment="1">
      <alignment horizontal="right" vertical="center" wrapText="1" indent="1"/>
    </xf>
    <xf numFmtId="9" fontId="0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AB3B-3516-41DE-A2B0-6FAFC7A1FCDC}">
  <dimension ref="A1:Y15"/>
  <sheetViews>
    <sheetView tabSelected="1" workbookViewId="0">
      <selection activeCell="E20" sqref="E20"/>
    </sheetView>
  </sheetViews>
  <sheetFormatPr defaultRowHeight="15" x14ac:dyDescent="0.25"/>
  <cols>
    <col min="1" max="1" width="12.7109375" customWidth="1"/>
    <col min="10" max="10" width="12.42578125" customWidth="1"/>
    <col min="11" max="11" width="12.28515625" bestFit="1" customWidth="1"/>
    <col min="12" max="12" width="11.7109375" bestFit="1" customWidth="1"/>
    <col min="14" max="14" width="10.85546875" customWidth="1"/>
    <col min="15" max="15" width="12.5703125" bestFit="1" customWidth="1"/>
    <col min="16" max="16" width="11.5703125" bestFit="1" customWidth="1"/>
  </cols>
  <sheetData>
    <row r="1" spans="1:25" ht="35.2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J1" s="6"/>
      <c r="K1" s="7"/>
      <c r="L1" s="7"/>
      <c r="M1" s="7"/>
      <c r="N1" s="7"/>
      <c r="O1" s="7"/>
      <c r="S1" s="6"/>
      <c r="T1" s="6"/>
      <c r="U1" s="7"/>
      <c r="V1" s="7"/>
      <c r="W1" s="7"/>
      <c r="X1" s="7"/>
      <c r="Y1" s="7"/>
    </row>
    <row r="2" spans="1:25" ht="35.25" thickBot="1" x14ac:dyDescent="0.3">
      <c r="A2" s="4" t="s">
        <v>6</v>
      </c>
      <c r="B2" s="4" t="s">
        <v>7</v>
      </c>
      <c r="C2" s="4" t="s">
        <v>8</v>
      </c>
      <c r="D2" s="4" t="s">
        <v>9</v>
      </c>
      <c r="E2" s="4">
        <v>45000</v>
      </c>
      <c r="F2" s="4">
        <v>2019</v>
      </c>
      <c r="J2" s="2"/>
      <c r="K2" s="8"/>
      <c r="L2" s="8"/>
      <c r="M2" s="8"/>
      <c r="N2" s="8"/>
      <c r="O2" s="8"/>
      <c r="S2" s="2"/>
      <c r="T2" s="2"/>
      <c r="U2" s="8"/>
      <c r="V2" s="8"/>
      <c r="W2" s="8"/>
      <c r="X2" s="8"/>
      <c r="Y2" s="8"/>
    </row>
    <row r="3" spans="1:25" ht="34.5" x14ac:dyDescent="0.25">
      <c r="A3" s="5" t="s">
        <v>10</v>
      </c>
      <c r="B3" s="5" t="s">
        <v>11</v>
      </c>
      <c r="C3" s="5" t="s">
        <v>12</v>
      </c>
      <c r="D3" s="5" t="s">
        <v>13</v>
      </c>
      <c r="E3" s="5">
        <v>52000</v>
      </c>
      <c r="F3" s="5">
        <v>2018</v>
      </c>
    </row>
    <row r="4" spans="1:25" ht="34.5" x14ac:dyDescent="0.25">
      <c r="A4" s="4" t="s">
        <v>14</v>
      </c>
      <c r="B4" s="4" t="s">
        <v>15</v>
      </c>
      <c r="C4" s="4" t="s">
        <v>16</v>
      </c>
      <c r="D4" s="4" t="s">
        <v>17</v>
      </c>
      <c r="E4" s="4">
        <v>65000</v>
      </c>
      <c r="F4" s="4">
        <v>2020</v>
      </c>
    </row>
    <row r="5" spans="1:25" ht="34.5" x14ac:dyDescent="0.25">
      <c r="A5" s="5" t="s">
        <v>18</v>
      </c>
      <c r="B5" s="5" t="s">
        <v>19</v>
      </c>
      <c r="C5" s="5" t="s">
        <v>20</v>
      </c>
      <c r="D5" s="5" t="s">
        <v>21</v>
      </c>
      <c r="E5" s="5">
        <v>58000</v>
      </c>
      <c r="F5" s="5">
        <v>2017</v>
      </c>
      <c r="J5" s="3" t="s">
        <v>0</v>
      </c>
      <c r="K5" s="3" t="s">
        <v>1</v>
      </c>
    </row>
    <row r="6" spans="1:25" ht="34.5" x14ac:dyDescent="0.25">
      <c r="A6" s="4" t="s">
        <v>22</v>
      </c>
      <c r="B6" s="4" t="s">
        <v>23</v>
      </c>
      <c r="C6" s="4" t="s">
        <v>24</v>
      </c>
      <c r="D6" s="4" t="s">
        <v>9</v>
      </c>
      <c r="E6" s="4">
        <v>48000</v>
      </c>
      <c r="F6" s="4">
        <v>2021</v>
      </c>
      <c r="J6" s="9" t="s">
        <v>18</v>
      </c>
      <c r="K6" s="9" t="s">
        <v>15</v>
      </c>
    </row>
    <row r="7" spans="1:25" ht="34.5" x14ac:dyDescent="0.25">
      <c r="A7" s="5" t="s">
        <v>25</v>
      </c>
      <c r="B7" s="5" t="s">
        <v>26</v>
      </c>
      <c r="C7" s="5" t="s">
        <v>16</v>
      </c>
      <c r="D7" s="5" t="s">
        <v>27</v>
      </c>
      <c r="E7" s="5">
        <v>62000</v>
      </c>
      <c r="F7" s="5">
        <v>2019</v>
      </c>
    </row>
    <row r="8" spans="1:25" ht="34.5" x14ac:dyDescent="0.25">
      <c r="A8" s="4" t="s">
        <v>28</v>
      </c>
      <c r="B8" s="4" t="s">
        <v>29</v>
      </c>
      <c r="C8" s="4" t="s">
        <v>8</v>
      </c>
      <c r="D8" s="4" t="s">
        <v>30</v>
      </c>
      <c r="E8" s="4">
        <v>47000</v>
      </c>
      <c r="F8" s="4">
        <v>2020</v>
      </c>
      <c r="J8" s="11" t="s">
        <v>34</v>
      </c>
      <c r="K8" s="11" t="s">
        <v>1</v>
      </c>
      <c r="L8" s="11" t="s">
        <v>2</v>
      </c>
      <c r="M8" s="11" t="s">
        <v>4</v>
      </c>
      <c r="N8" s="11" t="s">
        <v>3</v>
      </c>
      <c r="O8" s="11" t="s">
        <v>35</v>
      </c>
      <c r="P8" s="11" t="s">
        <v>36</v>
      </c>
    </row>
    <row r="9" spans="1:25" ht="34.5" x14ac:dyDescent="0.25">
      <c r="A9" s="5" t="s">
        <v>31</v>
      </c>
      <c r="B9" s="5" t="s">
        <v>32</v>
      </c>
      <c r="C9" s="5" t="s">
        <v>12</v>
      </c>
      <c r="D9" s="5" t="s">
        <v>17</v>
      </c>
      <c r="E9" s="5">
        <v>54000</v>
      </c>
      <c r="F9" s="5">
        <v>2016</v>
      </c>
      <c r="J9" s="10" t="s">
        <v>6</v>
      </c>
      <c r="K9" s="10" t="str">
        <f>VLOOKUP(J9,A1:F9,2,0)</f>
        <v>Rahul Sharma</v>
      </c>
      <c r="L9" s="10" t="str">
        <f>VLOOKUP(J9,A1:F9,3,0)</f>
        <v>Sales</v>
      </c>
      <c r="M9" s="10">
        <f>VLOOKUP(J9,A1:F9,5,0)</f>
        <v>45000</v>
      </c>
      <c r="N9" s="10" t="str">
        <f>VLOOKUP(J9,A1:F9,4,0)</f>
        <v>Mumbai</v>
      </c>
      <c r="O9" s="10" t="str">
        <f>IFERROR(VLOOKUP(J9,A1:F9,1,0),"Not Found")</f>
        <v>E101</v>
      </c>
      <c r="P9" s="10">
        <f>VLOOKUP(J9,A1:F9,6,0)</f>
        <v>2019</v>
      </c>
    </row>
    <row r="11" spans="1:25" x14ac:dyDescent="0.25">
      <c r="A11" s="1"/>
    </row>
    <row r="13" spans="1:25" x14ac:dyDescent="0.25">
      <c r="A13" s="1"/>
    </row>
    <row r="15" spans="1:25" x14ac:dyDescent="0.25">
      <c r="A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2CE5-BFEA-47F6-8E35-60FA8EB78A2D}">
  <dimension ref="A1:U10"/>
  <sheetViews>
    <sheetView workbookViewId="0">
      <selection activeCell="A3" sqref="A3"/>
    </sheetView>
  </sheetViews>
  <sheetFormatPr defaultRowHeight="15" x14ac:dyDescent="0.25"/>
  <cols>
    <col min="1" max="1" width="12.140625" bestFit="1" customWidth="1"/>
    <col min="2" max="2" width="11.7109375" bestFit="1" customWidth="1"/>
    <col min="4" max="5" width="14.140625" bestFit="1" customWidth="1"/>
  </cols>
  <sheetData>
    <row r="1" spans="1:21" ht="34.5" x14ac:dyDescent="0.25">
      <c r="A1" s="3" t="s">
        <v>2</v>
      </c>
      <c r="B1" s="13" t="s">
        <v>8</v>
      </c>
      <c r="C1" s="13" t="s">
        <v>12</v>
      </c>
      <c r="D1" s="13" t="s">
        <v>16</v>
      </c>
      <c r="E1" s="13" t="s">
        <v>20</v>
      </c>
      <c r="F1" s="13" t="s">
        <v>24</v>
      </c>
    </row>
    <row r="2" spans="1:21" ht="34.5" x14ac:dyDescent="0.25">
      <c r="A2" s="9" t="s">
        <v>33</v>
      </c>
      <c r="B2" s="14">
        <v>0.1</v>
      </c>
      <c r="C2" s="14">
        <v>0.08</v>
      </c>
      <c r="D2" s="14">
        <v>0.12</v>
      </c>
      <c r="E2" s="14">
        <v>0.15</v>
      </c>
      <c r="F2" s="14">
        <v>0.09</v>
      </c>
      <c r="P2" s="3" t="s">
        <v>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</row>
    <row r="3" spans="1:21" ht="34.5" x14ac:dyDescent="0.25">
      <c r="P3" s="4" t="s">
        <v>6</v>
      </c>
      <c r="Q3" s="4" t="s">
        <v>7</v>
      </c>
      <c r="R3" s="4" t="s">
        <v>8</v>
      </c>
      <c r="S3" s="4" t="s">
        <v>9</v>
      </c>
      <c r="T3" s="4">
        <v>45000</v>
      </c>
      <c r="U3" s="4">
        <v>2019</v>
      </c>
    </row>
    <row r="4" spans="1:21" ht="34.5" x14ac:dyDescent="0.25">
      <c r="P4" s="5" t="s">
        <v>10</v>
      </c>
      <c r="Q4" s="5" t="s">
        <v>11</v>
      </c>
      <c r="R4" s="5" t="s">
        <v>12</v>
      </c>
      <c r="S4" s="5" t="s">
        <v>13</v>
      </c>
      <c r="T4" s="5">
        <v>52000</v>
      </c>
      <c r="U4" s="5">
        <v>2018</v>
      </c>
    </row>
    <row r="5" spans="1:21" ht="34.5" x14ac:dyDescent="0.25">
      <c r="P5" s="4" t="s">
        <v>14</v>
      </c>
      <c r="Q5" s="4" t="s">
        <v>15</v>
      </c>
      <c r="R5" s="4" t="s">
        <v>16</v>
      </c>
      <c r="S5" s="4" t="s">
        <v>17</v>
      </c>
      <c r="T5" s="4">
        <v>65000</v>
      </c>
      <c r="U5" s="4">
        <v>2020</v>
      </c>
    </row>
    <row r="6" spans="1:21" ht="34.5" x14ac:dyDescent="0.25">
      <c r="P6" s="5" t="s">
        <v>18</v>
      </c>
      <c r="Q6" s="5" t="s">
        <v>19</v>
      </c>
      <c r="R6" s="5" t="s">
        <v>20</v>
      </c>
      <c r="S6" s="5" t="s">
        <v>21</v>
      </c>
      <c r="T6" s="5">
        <v>58000</v>
      </c>
      <c r="U6" s="5">
        <v>2017</v>
      </c>
    </row>
    <row r="7" spans="1:21" ht="34.5" x14ac:dyDescent="0.25">
      <c r="P7" s="4" t="s">
        <v>22</v>
      </c>
      <c r="Q7" s="4" t="s">
        <v>23</v>
      </c>
      <c r="R7" s="4" t="s">
        <v>24</v>
      </c>
      <c r="S7" s="4" t="s">
        <v>9</v>
      </c>
      <c r="T7" s="4">
        <v>48000</v>
      </c>
      <c r="U7" s="4">
        <v>2021</v>
      </c>
    </row>
    <row r="8" spans="1:21" ht="34.5" x14ac:dyDescent="0.25">
      <c r="A8" s="11" t="s">
        <v>34</v>
      </c>
      <c r="B8" s="11" t="s">
        <v>2</v>
      </c>
      <c r="C8" s="11" t="s">
        <v>37</v>
      </c>
      <c r="D8" s="11" t="s">
        <v>4</v>
      </c>
      <c r="E8" s="11" t="s">
        <v>38</v>
      </c>
      <c r="P8" s="5" t="s">
        <v>25</v>
      </c>
      <c r="Q8" s="5" t="s">
        <v>26</v>
      </c>
      <c r="R8" s="5" t="s">
        <v>16</v>
      </c>
      <c r="S8" s="5" t="s">
        <v>27</v>
      </c>
      <c r="T8" s="5">
        <v>62000</v>
      </c>
      <c r="U8" s="5">
        <v>2019</v>
      </c>
    </row>
    <row r="9" spans="1:21" ht="34.5" x14ac:dyDescent="0.25">
      <c r="A9" s="10" t="s">
        <v>18</v>
      </c>
      <c r="B9" s="10" t="s">
        <v>16</v>
      </c>
      <c r="C9" s="15">
        <f>HLOOKUP(B9,A1:F2,2,0)</f>
        <v>0.12</v>
      </c>
      <c r="D9" s="10">
        <f>VLOOKUP(A9,P2:U10,5,0)</f>
        <v>58000</v>
      </c>
      <c r="E9" s="11">
        <f>D9*C9</f>
        <v>6960</v>
      </c>
      <c r="P9" s="4" t="s">
        <v>28</v>
      </c>
      <c r="Q9" s="4" t="s">
        <v>29</v>
      </c>
      <c r="R9" s="4" t="s">
        <v>8</v>
      </c>
      <c r="S9" s="4" t="s">
        <v>30</v>
      </c>
      <c r="T9" s="4">
        <v>47000</v>
      </c>
      <c r="U9" s="4">
        <v>2020</v>
      </c>
    </row>
    <row r="10" spans="1:21" ht="34.5" x14ac:dyDescent="0.25">
      <c r="C10">
        <f>IFERROR(HLOOKUP(B9,A1:F2,2,0),"No Data Found")</f>
        <v>0.12</v>
      </c>
      <c r="P10" s="5" t="s">
        <v>31</v>
      </c>
      <c r="Q10" s="5" t="s">
        <v>32</v>
      </c>
      <c r="R10" s="5" t="s">
        <v>12</v>
      </c>
      <c r="S10" s="5" t="s">
        <v>17</v>
      </c>
      <c r="T10" s="5">
        <v>54000</v>
      </c>
      <c r="U10" s="5"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821A-BA12-4687-B455-BDF17B7B3DC8}">
  <dimension ref="A1:S9"/>
  <sheetViews>
    <sheetView workbookViewId="0">
      <selection activeCell="M6" sqref="M6"/>
    </sheetView>
  </sheetViews>
  <sheetFormatPr defaultRowHeight="15" x14ac:dyDescent="0.25"/>
  <cols>
    <col min="11" max="11" width="12.140625" bestFit="1" customWidth="1"/>
    <col min="12" max="12" width="19.85546875" bestFit="1" customWidth="1"/>
    <col min="13" max="13" width="13.140625" bestFit="1" customWidth="1"/>
    <col min="14" max="14" width="11.7109375" bestFit="1" customWidth="1"/>
  </cols>
  <sheetData>
    <row r="1" spans="1:19" ht="34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N1" s="3" t="s">
        <v>2</v>
      </c>
      <c r="O1" s="13" t="s">
        <v>8</v>
      </c>
      <c r="P1" s="13" t="s">
        <v>12</v>
      </c>
      <c r="Q1" s="13" t="s">
        <v>16</v>
      </c>
      <c r="R1" s="13" t="s">
        <v>20</v>
      </c>
      <c r="S1" s="13" t="s">
        <v>24</v>
      </c>
    </row>
    <row r="2" spans="1:19" ht="34.5" x14ac:dyDescent="0.25">
      <c r="A2" s="4" t="s">
        <v>6</v>
      </c>
      <c r="B2" s="4" t="s">
        <v>7</v>
      </c>
      <c r="C2" s="4" t="s">
        <v>8</v>
      </c>
      <c r="D2" s="4" t="s">
        <v>9</v>
      </c>
      <c r="E2" s="4">
        <v>45000</v>
      </c>
      <c r="F2" s="4">
        <v>2019</v>
      </c>
      <c r="N2" s="9" t="s">
        <v>33</v>
      </c>
      <c r="O2" s="14">
        <v>0.1</v>
      </c>
      <c r="P2" s="14">
        <v>0.08</v>
      </c>
      <c r="Q2" s="14">
        <v>0.12</v>
      </c>
      <c r="R2" s="14">
        <v>0.15</v>
      </c>
      <c r="S2" s="14">
        <v>0.09</v>
      </c>
    </row>
    <row r="3" spans="1:19" ht="34.5" x14ac:dyDescent="0.25">
      <c r="A3" s="5" t="s">
        <v>10</v>
      </c>
      <c r="B3" s="5" t="s">
        <v>11</v>
      </c>
      <c r="C3" s="5" t="s">
        <v>12</v>
      </c>
      <c r="D3" s="5" t="s">
        <v>13</v>
      </c>
      <c r="E3" s="5">
        <v>52000</v>
      </c>
      <c r="F3" s="5">
        <v>2018</v>
      </c>
    </row>
    <row r="4" spans="1:19" ht="34.5" x14ac:dyDescent="0.25">
      <c r="A4" s="4" t="s">
        <v>14</v>
      </c>
      <c r="B4" s="4" t="s">
        <v>15</v>
      </c>
      <c r="C4" s="4" t="s">
        <v>16</v>
      </c>
      <c r="D4" s="4" t="s">
        <v>17</v>
      </c>
      <c r="E4" s="4">
        <v>65000</v>
      </c>
      <c r="F4" s="4">
        <v>2020</v>
      </c>
    </row>
    <row r="5" spans="1:19" ht="34.5" x14ac:dyDescent="0.25">
      <c r="A5" s="5" t="s">
        <v>18</v>
      </c>
      <c r="B5" s="5" t="s">
        <v>19</v>
      </c>
      <c r="C5" s="5" t="s">
        <v>20</v>
      </c>
      <c r="D5" s="5" t="s">
        <v>21</v>
      </c>
      <c r="E5" s="5">
        <v>58000</v>
      </c>
      <c r="F5" s="5">
        <v>2017</v>
      </c>
      <c r="K5" s="11" t="s">
        <v>34</v>
      </c>
      <c r="L5" s="11" t="s">
        <v>4</v>
      </c>
      <c r="M5" s="11" t="s">
        <v>1</v>
      </c>
      <c r="N5" s="11" t="s">
        <v>2</v>
      </c>
      <c r="O5" s="11" t="s">
        <v>3</v>
      </c>
      <c r="P5" s="12" t="s">
        <v>37</v>
      </c>
    </row>
    <row r="6" spans="1:19" ht="34.5" x14ac:dyDescent="0.25">
      <c r="A6" s="4" t="s">
        <v>22</v>
      </c>
      <c r="B6" s="4" t="s">
        <v>23</v>
      </c>
      <c r="C6" s="4" t="s">
        <v>24</v>
      </c>
      <c r="D6" s="4" t="s">
        <v>9</v>
      </c>
      <c r="E6" s="4">
        <v>48000</v>
      </c>
      <c r="F6" s="4">
        <v>2021</v>
      </c>
      <c r="K6" s="10" t="s">
        <v>6</v>
      </c>
      <c r="L6" s="10">
        <f>_xlfn.XLOOKUP(K6,A2:A9,E2:E9)</f>
        <v>45000</v>
      </c>
      <c r="M6" s="10" t="s">
        <v>15</v>
      </c>
      <c r="N6" s="10" t="str">
        <f>_xlfn.XLOOKUP(M6,B2:B9,C2:C9)</f>
        <v>IT</v>
      </c>
      <c r="O6" s="10" t="str">
        <f>_xlfn.XLOOKUP(M6,B2:B9,D2:D9)</f>
        <v>Bangalore</v>
      </c>
      <c r="P6" s="15">
        <f>_xlfn.XLOOKUP(O1,N1:S1,N2:S2)</f>
        <v>0.1</v>
      </c>
    </row>
    <row r="7" spans="1:19" ht="34.5" x14ac:dyDescent="0.25">
      <c r="A7" s="5" t="s">
        <v>25</v>
      </c>
      <c r="B7" s="5" t="s">
        <v>26</v>
      </c>
      <c r="C7" s="5" t="s">
        <v>16</v>
      </c>
      <c r="D7" s="5" t="s">
        <v>27</v>
      </c>
      <c r="E7" s="5">
        <v>62000</v>
      </c>
      <c r="F7" s="5">
        <v>2019</v>
      </c>
      <c r="K7" s="10" t="s">
        <v>39</v>
      </c>
      <c r="L7" s="10" t="str">
        <f>_xlfn.XLOOKUP(K7,A2:A9,B2:B9,"Employee Not Found")</f>
        <v>Employee Not Found</v>
      </c>
      <c r="M7" s="10"/>
      <c r="N7" s="10"/>
      <c r="O7" s="10"/>
      <c r="P7" s="10"/>
    </row>
    <row r="8" spans="1:19" ht="34.5" x14ac:dyDescent="0.25">
      <c r="A8" s="4" t="s">
        <v>28</v>
      </c>
      <c r="B8" s="4" t="s">
        <v>29</v>
      </c>
      <c r="C8" s="4" t="s">
        <v>8</v>
      </c>
      <c r="D8" s="4" t="s">
        <v>30</v>
      </c>
      <c r="E8" s="4">
        <v>47000</v>
      </c>
      <c r="F8" s="4">
        <v>2020</v>
      </c>
    </row>
    <row r="9" spans="1:19" ht="34.5" x14ac:dyDescent="0.25">
      <c r="A9" s="5" t="s">
        <v>31</v>
      </c>
      <c r="B9" s="5" t="s">
        <v>32</v>
      </c>
      <c r="C9" s="5" t="s">
        <v>12</v>
      </c>
      <c r="D9" s="5" t="s">
        <v>17</v>
      </c>
      <c r="E9" s="5">
        <v>54000</v>
      </c>
      <c r="F9" s="5">
        <v>2016</v>
      </c>
    </row>
  </sheetData>
  <dataValidations count="1">
    <dataValidation type="list" allowBlank="1" showInputMessage="1" showErrorMessage="1" sqref="M6" xr:uid="{F753BEE8-518E-42CA-834E-49C6B5BBC868}">
      <formula1>$B$2:$B$9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2026-02-01T04:38:06Z</dcterms:created>
  <dcterms:modified xsi:type="dcterms:W3CDTF">2026-02-01T05:46:14Z</dcterms:modified>
</cp:coreProperties>
</file>