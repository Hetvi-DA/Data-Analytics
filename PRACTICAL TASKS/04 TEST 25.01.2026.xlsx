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"/>
    </mc:Choice>
  </mc:AlternateContent>
  <xr:revisionPtr revIDLastSave="0" documentId="8_{445AAFF4-BCD3-4FD7-B668-573EFCD35168}" xr6:coauthVersionLast="47" xr6:coauthVersionMax="47" xr10:uidLastSave="{00000000-0000-0000-0000-000000000000}"/>
  <bookViews>
    <workbookView xWindow="-120" yWindow="-120" windowWidth="29040" windowHeight="15720" activeTab="9" xr2:uid="{EE6D07AC-2EA5-4061-9356-8B43A7A1727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D2" i="6"/>
  <c r="D1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2" i="7"/>
  <c r="D3" i="6"/>
  <c r="D4" i="6"/>
  <c r="D5" i="6"/>
  <c r="D6" i="6"/>
  <c r="D7" i="6"/>
  <c r="D8" i="6"/>
  <c r="D9" i="6"/>
  <c r="D10" i="6"/>
  <c r="D11" i="6"/>
  <c r="D13" i="6"/>
  <c r="D14" i="6"/>
  <c r="D15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<sst xmlns="http://schemas.openxmlformats.org/spreadsheetml/2006/main" count="200" uniqueCount="55">
  <si>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</si>
  <si>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</si>
  <si>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</si>
  <si>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</si>
  <si>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</si>
  <si>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</si>
  <si>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</si>
  <si>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</si>
  <si>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</si>
  <si>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If Marks ≥ 40 → Pass
Else → Fail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</si>
  <si>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</si>
  <si>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</si>
  <si>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</si>
  <si>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</si>
  <si>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</si>
  <si>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</si>
  <si>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</si>
  <si>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
Else → No Bonus</t>
  </si>
  <si>
    <t>Grade</t>
  </si>
  <si>
    <t>≥ 75 → A
≥ 60 → B
≥ 40 → C
&lt; 40 → Fail</t>
  </si>
  <si>
    <t>Name</t>
  </si>
  <si>
    <t>Age</t>
  </si>
  <si>
    <t>Experience (Years)</t>
  </si>
  <si>
    <t>Eligible</t>
  </si>
  <si>
    <t>Age ≥ 21 AND Experience ≥ 1 → Eligible</t>
  </si>
  <si>
    <t>Attendance %</t>
  </si>
  <si>
    <t>Assignment Submitted</t>
  </si>
  <si>
    <t>Yes</t>
  </si>
  <si>
    <t>No</t>
  </si>
  <si>
    <t>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</si>
  <si>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</si>
  <si>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</si>
  <si>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</si>
  <si>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</si>
  <si>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</si>
  <si>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</si>
  <si>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</si>
  <si>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</si>
  <si>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Applicant</t>
  </si>
  <si>
    <t>CIBIL Score</t>
  </si>
  <si>
    <t>Loan Status</t>
  </si>
  <si>
    <t>Salary ≥ 40000 OR CIBIL ≥ 700</t>
  </si>
  <si>
    <t>Present</t>
  </si>
  <si>
    <t>Status</t>
  </si>
  <si>
    <t>If NOT Present → Absent
Else → Present</t>
  </si>
  <si>
    <t>Number 1</t>
  </si>
  <si>
    <t>Number 2</t>
  </si>
  <si>
    <t>Divide Number 1 by Number 2
If error → show "Invalid"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</si>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</sst>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2FDD-BB93-4B8B-8196-ABF70A22FF39}">
  <dimension ref="A1:U15"/>
  <sheetViews>
    <sheetView workbookViewId="0">
      <selection activeCell="G11" sqref="G11"/>
    </sheetView>
  </sheetViews>
  <sheetFormatPr defaultRowHeight="15" x14ac:dyDescent="0.25"/>
  <sheetData>
    <row r="1" spans="1:21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1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21" ht="18" thickBot="1" x14ac:dyDescent="0.3">
      <c r="A3" s="3">
        <v>2</v>
      </c>
      <c r="B3" s="3" t="s">
        <v>5</v>
      </c>
      <c r="C3" s="3">
        <v>35</v>
      </c>
      <c r="D3" s="2" t="str">
        <f t="shared" ref="D3:D15" si="0">IF(C3&gt;=40,"Pass","Fail")</f>
        <v>Fail</v>
      </c>
    </row>
    <row r="4" spans="1:21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</row>
    <row r="5" spans="1:21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  <c r="R5" s="5" t="s">
        <v>9</v>
      </c>
      <c r="S5" s="4"/>
      <c r="T5" s="4"/>
      <c r="U5" s="4"/>
    </row>
    <row r="6" spans="1:21" ht="35.25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  <c r="R6" s="4"/>
      <c r="S6" s="4"/>
      <c r="T6" s="4"/>
      <c r="U6" s="4"/>
    </row>
    <row r="7" spans="1:21" ht="18" thickBot="1" x14ac:dyDescent="0.3">
      <c r="A7" s="2">
        <v>6</v>
      </c>
      <c r="B7" s="2" t="s">
        <v>4</v>
      </c>
      <c r="C7" s="2">
        <v>20.100000000000001</v>
      </c>
      <c r="D7" s="2" t="str">
        <f t="shared" si="0"/>
        <v>Fail</v>
      </c>
      <c r="R7" s="4"/>
      <c r="S7" s="4"/>
      <c r="T7" s="4"/>
      <c r="U7" s="4"/>
    </row>
    <row r="8" spans="1:21" ht="18" thickBot="1" x14ac:dyDescent="0.3">
      <c r="A8" s="3">
        <v>7</v>
      </c>
      <c r="B8" s="3" t="s">
        <v>5</v>
      </c>
      <c r="C8" s="3">
        <v>10.6</v>
      </c>
      <c r="D8" s="2" t="str">
        <f t="shared" si="0"/>
        <v>Fail</v>
      </c>
      <c r="R8" s="4"/>
      <c r="S8" s="4"/>
      <c r="T8" s="4"/>
      <c r="U8" s="4"/>
    </row>
    <row r="9" spans="1:21" ht="18" thickBot="1" x14ac:dyDescent="0.3">
      <c r="A9" s="2">
        <v>8</v>
      </c>
      <c r="B9" s="2" t="s">
        <v>6</v>
      </c>
      <c r="C9" s="2">
        <v>1.0999999999999901</v>
      </c>
      <c r="D9" s="2" t="str">
        <f t="shared" si="0"/>
        <v>Fail</v>
      </c>
      <c r="R9" s="4"/>
      <c r="S9" s="4"/>
      <c r="T9" s="4"/>
      <c r="U9" s="4"/>
    </row>
    <row r="10" spans="1:21" ht="18" thickBot="1" x14ac:dyDescent="0.3">
      <c r="A10" s="3">
        <v>9</v>
      </c>
      <c r="B10" s="3" t="s">
        <v>7</v>
      </c>
      <c r="C10" s="3">
        <v>-8.4000000000000092</v>
      </c>
      <c r="D10" s="2" t="str">
        <f t="shared" si="0"/>
        <v>Fail</v>
      </c>
    </row>
    <row r="11" spans="1:21" ht="35.25" thickBot="1" x14ac:dyDescent="0.3">
      <c r="A11" s="2">
        <v>10</v>
      </c>
      <c r="B11" s="2" t="s">
        <v>8</v>
      </c>
      <c r="C11" s="2">
        <v>-17.899999999999999</v>
      </c>
      <c r="D11" s="2" t="str">
        <f t="shared" si="0"/>
        <v>Fail</v>
      </c>
    </row>
    <row r="12" spans="1:21" ht="18" thickBot="1" x14ac:dyDescent="0.3">
      <c r="A12" s="2">
        <v>11</v>
      </c>
      <c r="B12" s="2" t="s">
        <v>4</v>
      </c>
      <c r="C12" s="2">
        <v>-27.4</v>
      </c>
      <c r="D12" s="2" t="str">
        <f t="shared" si="0"/>
        <v>Fail</v>
      </c>
    </row>
    <row r="13" spans="1:21" ht="18" thickBot="1" x14ac:dyDescent="0.3">
      <c r="A13" s="3">
        <v>12</v>
      </c>
      <c r="B13" s="3" t="s">
        <v>5</v>
      </c>
      <c r="C13" s="3">
        <v>-36.9</v>
      </c>
      <c r="D13" s="2" t="str">
        <f t="shared" si="0"/>
        <v>Fail</v>
      </c>
    </row>
    <row r="14" spans="1:21" ht="18" thickBot="1" x14ac:dyDescent="0.3">
      <c r="A14" s="2">
        <v>13</v>
      </c>
      <c r="B14" s="2" t="s">
        <v>6</v>
      </c>
      <c r="C14" s="2">
        <v>-46.4</v>
      </c>
      <c r="D14" s="2" t="str">
        <f t="shared" si="0"/>
        <v>Fail</v>
      </c>
    </row>
    <row r="15" spans="1:21" ht="18" thickBot="1" x14ac:dyDescent="0.3">
      <c r="A15" s="3">
        <v>14</v>
      </c>
      <c r="B15" s="3" t="s">
        <v>7</v>
      </c>
      <c r="C15" s="3">
        <v>-55.9</v>
      </c>
      <c r="D15" s="2" t="str">
        <f t="shared" si="0"/>
        <v>Fail</v>
      </c>
    </row>
  </sheetData>
  <mergeCells count="1">
    <mergeCell ref="R5:U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D6EF-EA83-4BDF-9B9F-1FD2F54EF99A}">
  <dimension ref="A1:W15"/>
  <sheetViews>
    <sheetView workbookViewId="0">
      <selection activeCell="F2" sqref="F2"/>
    </sheetView>
  </sheetViews>
  <sheetFormatPr defaultRowHeight="15" x14ac:dyDescent="0.25"/>
  <sheetData>
    <row r="1" spans="1:23" ht="52.5" thickBot="1" x14ac:dyDescent="0.3">
      <c r="A1" s="1" t="s">
        <v>10</v>
      </c>
      <c r="B1" s="1" t="s">
        <v>11</v>
      </c>
      <c r="C1" s="1" t="s">
        <v>12</v>
      </c>
    </row>
    <row r="2" spans="1:23" ht="35.25" thickBot="1" x14ac:dyDescent="0.3">
      <c r="A2" s="2" t="s">
        <v>13</v>
      </c>
      <c r="B2" s="2">
        <v>28000</v>
      </c>
      <c r="C2" s="2" t="str">
        <f>IF(B2&gt;=40000,"Bonus","No Bonus")</f>
        <v>No Bonus</v>
      </c>
    </row>
    <row r="3" spans="1:23" ht="35.25" thickBot="1" x14ac:dyDescent="0.3">
      <c r="A3" s="3" t="s">
        <v>14</v>
      </c>
      <c r="B3" s="3">
        <v>45000</v>
      </c>
      <c r="C3" s="2" t="str">
        <f t="shared" ref="C3:C15" si="0">IF(B3&gt;=40000,"Bonus","No Bonus")</f>
        <v>Bonus</v>
      </c>
    </row>
    <row r="4" spans="1:23" ht="18" thickBot="1" x14ac:dyDescent="0.3">
      <c r="A4" s="2" t="s">
        <v>15</v>
      </c>
      <c r="B4" s="2">
        <v>52000</v>
      </c>
      <c r="C4" s="2" t="str">
        <f t="shared" si="0"/>
        <v>Bonus</v>
      </c>
    </row>
    <row r="5" spans="1:23" ht="35.25" thickBot="1" x14ac:dyDescent="0.3">
      <c r="A5" s="3" t="s">
        <v>16</v>
      </c>
      <c r="B5" s="3">
        <v>30000</v>
      </c>
      <c r="C5" s="2" t="str">
        <f t="shared" si="0"/>
        <v>No Bonus</v>
      </c>
    </row>
    <row r="6" spans="1:23" ht="18" thickBot="1" x14ac:dyDescent="0.3">
      <c r="A6" s="2" t="s">
        <v>13</v>
      </c>
      <c r="B6" s="2">
        <v>42000</v>
      </c>
      <c r="C6" s="2" t="str">
        <f t="shared" si="0"/>
        <v>Bonus</v>
      </c>
    </row>
    <row r="7" spans="1:23" ht="35.25" thickBot="1" x14ac:dyDescent="0.3">
      <c r="A7" s="3" t="s">
        <v>14</v>
      </c>
      <c r="B7" s="3">
        <v>43300</v>
      </c>
      <c r="C7" s="2" t="str">
        <f t="shared" si="0"/>
        <v>Bonus</v>
      </c>
      <c r="S7" s="5" t="s">
        <v>17</v>
      </c>
      <c r="T7" s="4"/>
      <c r="U7" s="4"/>
      <c r="V7" s="4"/>
      <c r="W7" s="4"/>
    </row>
    <row r="8" spans="1:23" ht="18" thickBot="1" x14ac:dyDescent="0.3">
      <c r="A8" s="2" t="s">
        <v>15</v>
      </c>
      <c r="B8" s="2">
        <v>44600</v>
      </c>
      <c r="C8" s="2" t="str">
        <f t="shared" si="0"/>
        <v>Bonus</v>
      </c>
      <c r="S8" s="4"/>
      <c r="T8" s="4"/>
      <c r="U8" s="4"/>
      <c r="V8" s="4"/>
      <c r="W8" s="4"/>
    </row>
    <row r="9" spans="1:23" ht="18" thickBot="1" x14ac:dyDescent="0.3">
      <c r="A9" s="3" t="s">
        <v>16</v>
      </c>
      <c r="B9" s="3">
        <v>45900</v>
      </c>
      <c r="C9" s="2" t="str">
        <f t="shared" si="0"/>
        <v>Bonus</v>
      </c>
      <c r="S9" s="4"/>
      <c r="T9" s="4"/>
      <c r="U9" s="4"/>
      <c r="V9" s="4"/>
      <c r="W9" s="4"/>
    </row>
    <row r="10" spans="1:23" ht="18" thickBot="1" x14ac:dyDescent="0.3">
      <c r="A10" s="2" t="s">
        <v>13</v>
      </c>
      <c r="B10" s="2">
        <v>47200</v>
      </c>
      <c r="C10" s="2" t="str">
        <f t="shared" si="0"/>
        <v>Bonus</v>
      </c>
      <c r="S10" s="4"/>
      <c r="T10" s="4"/>
      <c r="U10" s="4"/>
      <c r="V10" s="4"/>
      <c r="W10" s="4"/>
    </row>
    <row r="11" spans="1:23" ht="35.25" thickBot="1" x14ac:dyDescent="0.3">
      <c r="A11" s="3" t="s">
        <v>14</v>
      </c>
      <c r="B11" s="3">
        <v>48500</v>
      </c>
      <c r="C11" s="2" t="str">
        <f t="shared" si="0"/>
        <v>Bonus</v>
      </c>
      <c r="S11" s="4"/>
      <c r="T11" s="4"/>
      <c r="U11" s="4"/>
      <c r="V11" s="4"/>
      <c r="W11" s="4"/>
    </row>
    <row r="12" spans="1:23" ht="18" thickBot="1" x14ac:dyDescent="0.3">
      <c r="A12" s="2" t="s">
        <v>15</v>
      </c>
      <c r="B12" s="2">
        <v>49800</v>
      </c>
      <c r="C12" s="2" t="str">
        <f t="shared" si="0"/>
        <v>Bonus</v>
      </c>
    </row>
    <row r="13" spans="1:23" ht="18" thickBot="1" x14ac:dyDescent="0.3">
      <c r="A13" s="3" t="s">
        <v>16</v>
      </c>
      <c r="B13" s="3">
        <v>51100</v>
      </c>
      <c r="C13" s="2" t="str">
        <f t="shared" si="0"/>
        <v>Bonus</v>
      </c>
    </row>
    <row r="14" spans="1:23" ht="18" thickBot="1" x14ac:dyDescent="0.3">
      <c r="A14" s="2" t="s">
        <v>13</v>
      </c>
      <c r="B14" s="2">
        <v>52400</v>
      </c>
      <c r="C14" s="2" t="str">
        <f t="shared" si="0"/>
        <v>Bonus</v>
      </c>
    </row>
    <row r="15" spans="1:23" ht="34.5" x14ac:dyDescent="0.25">
      <c r="A15" s="6" t="s">
        <v>14</v>
      </c>
      <c r="B15" s="6">
        <v>53700</v>
      </c>
      <c r="C15" s="7" t="str">
        <f t="shared" si="0"/>
        <v>Bonus</v>
      </c>
    </row>
  </sheetData>
  <mergeCells count="1">
    <mergeCell ref="S7:W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F539-1EC6-42FC-B83F-F7621A4F79B0}">
  <dimension ref="A1:X15"/>
  <sheetViews>
    <sheetView workbookViewId="0">
      <selection activeCell="E3" sqref="E3"/>
    </sheetView>
  </sheetViews>
  <sheetFormatPr defaultRowHeight="15" x14ac:dyDescent="0.25"/>
  <sheetData>
    <row r="1" spans="1:24" ht="51.75" x14ac:dyDescent="0.25">
      <c r="A1" s="8" t="s">
        <v>1</v>
      </c>
      <c r="B1" s="8" t="s">
        <v>2</v>
      </c>
      <c r="C1" s="8" t="s">
        <v>18</v>
      </c>
    </row>
    <row r="2" spans="1:24" ht="17.25" x14ac:dyDescent="0.25">
      <c r="A2" s="9" t="s">
        <v>4</v>
      </c>
      <c r="B2" s="9">
        <v>82</v>
      </c>
      <c r="C2" s="9" t="str">
        <f>IF(B2&gt;=75,"A",IF(B2&gt;=60,"B",IF(B2&gt;=40,"C",IF(B2&lt;40,"FAIL"))))</f>
        <v>A</v>
      </c>
    </row>
    <row r="3" spans="1:24" ht="17.25" x14ac:dyDescent="0.25">
      <c r="A3" s="10" t="s">
        <v>5</v>
      </c>
      <c r="B3" s="10">
        <v>67</v>
      </c>
      <c r="C3" s="9" t="str">
        <f t="shared" ref="C3:C15" si="0">IF(B3&gt;=75,"A",IF(B3&gt;=60,"B",IF(B3&gt;=40,"C",IF(B3&lt;40,"FAIL"))))</f>
        <v>B</v>
      </c>
    </row>
    <row r="4" spans="1:24" ht="17.25" x14ac:dyDescent="0.25">
      <c r="A4" s="9" t="s">
        <v>6</v>
      </c>
      <c r="B4" s="9">
        <v>45</v>
      </c>
      <c r="C4" s="9" t="str">
        <f t="shared" si="0"/>
        <v>C</v>
      </c>
    </row>
    <row r="5" spans="1:24" ht="17.25" x14ac:dyDescent="0.25">
      <c r="A5" s="10" t="s">
        <v>7</v>
      </c>
      <c r="B5" s="10">
        <v>33</v>
      </c>
      <c r="C5" s="9" t="str">
        <f t="shared" si="0"/>
        <v>FAIL</v>
      </c>
    </row>
    <row r="6" spans="1:24" ht="34.5" x14ac:dyDescent="0.25">
      <c r="A6" s="9" t="s">
        <v>8</v>
      </c>
      <c r="B6" s="9">
        <v>90</v>
      </c>
      <c r="C6" s="9" t="str">
        <f t="shared" si="0"/>
        <v>A</v>
      </c>
      <c r="T6" s="5" t="s">
        <v>19</v>
      </c>
      <c r="U6" s="4"/>
      <c r="V6" s="4"/>
      <c r="W6" s="4"/>
      <c r="X6" s="4"/>
    </row>
    <row r="7" spans="1:24" ht="17.25" x14ac:dyDescent="0.25">
      <c r="A7" s="9" t="s">
        <v>4</v>
      </c>
      <c r="B7" s="9">
        <v>58</v>
      </c>
      <c r="C7" s="9" t="str">
        <f t="shared" si="0"/>
        <v>C</v>
      </c>
      <c r="T7" s="4"/>
      <c r="U7" s="4"/>
      <c r="V7" s="4"/>
      <c r="W7" s="4"/>
      <c r="X7" s="4"/>
    </row>
    <row r="8" spans="1:24" ht="17.25" x14ac:dyDescent="0.25">
      <c r="A8" s="10" t="s">
        <v>5</v>
      </c>
      <c r="B8" s="10">
        <v>56.2</v>
      </c>
      <c r="C8" s="9" t="str">
        <f t="shared" si="0"/>
        <v>C</v>
      </c>
      <c r="T8" s="4"/>
      <c r="U8" s="4"/>
      <c r="V8" s="4"/>
      <c r="W8" s="4"/>
      <c r="X8" s="4"/>
    </row>
    <row r="9" spans="1:24" ht="17.25" x14ac:dyDescent="0.25">
      <c r="A9" s="9" t="s">
        <v>6</v>
      </c>
      <c r="B9" s="9">
        <v>54.4</v>
      </c>
      <c r="C9" s="9" t="str">
        <f t="shared" si="0"/>
        <v>C</v>
      </c>
      <c r="T9" s="4"/>
      <c r="U9" s="4"/>
      <c r="V9" s="4"/>
      <c r="W9" s="4"/>
      <c r="X9" s="4"/>
    </row>
    <row r="10" spans="1:24" ht="17.25" x14ac:dyDescent="0.25">
      <c r="A10" s="10" t="s">
        <v>7</v>
      </c>
      <c r="B10" s="10">
        <v>52.6</v>
      </c>
      <c r="C10" s="9" t="str">
        <f t="shared" si="0"/>
        <v>C</v>
      </c>
      <c r="T10" s="4"/>
      <c r="U10" s="4"/>
      <c r="V10" s="4"/>
      <c r="W10" s="4"/>
      <c r="X10" s="4"/>
    </row>
    <row r="11" spans="1:24" ht="34.5" x14ac:dyDescent="0.25">
      <c r="A11" s="9" t="s">
        <v>8</v>
      </c>
      <c r="B11" s="9">
        <v>50.8</v>
      </c>
      <c r="C11" s="9" t="str">
        <f t="shared" si="0"/>
        <v>C</v>
      </c>
      <c r="T11" s="4"/>
      <c r="U11" s="4"/>
      <c r="V11" s="4"/>
      <c r="W11" s="4"/>
      <c r="X11" s="4"/>
    </row>
    <row r="12" spans="1:24" ht="17.25" x14ac:dyDescent="0.25">
      <c r="A12" s="9" t="s">
        <v>4</v>
      </c>
      <c r="B12" s="9">
        <v>49</v>
      </c>
      <c r="C12" s="9" t="str">
        <f t="shared" si="0"/>
        <v>C</v>
      </c>
    </row>
    <row r="13" spans="1:24" ht="17.25" x14ac:dyDescent="0.25">
      <c r="A13" s="10" t="s">
        <v>5</v>
      </c>
      <c r="B13" s="10">
        <v>47.2</v>
      </c>
      <c r="C13" s="9" t="str">
        <f t="shared" si="0"/>
        <v>C</v>
      </c>
    </row>
    <row r="14" spans="1:24" ht="17.25" x14ac:dyDescent="0.25">
      <c r="A14" s="9" t="s">
        <v>6</v>
      </c>
      <c r="B14" s="9">
        <v>45.4</v>
      </c>
      <c r="C14" s="9" t="str">
        <f t="shared" si="0"/>
        <v>C</v>
      </c>
    </row>
    <row r="15" spans="1:24" ht="17.25" x14ac:dyDescent="0.25">
      <c r="A15" s="10" t="s">
        <v>7</v>
      </c>
      <c r="B15" s="10">
        <v>43.6</v>
      </c>
      <c r="C15" s="9" t="str">
        <f t="shared" si="0"/>
        <v>C</v>
      </c>
    </row>
  </sheetData>
  <mergeCells count="1">
    <mergeCell ref="T6:X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BA81-31BB-4425-B177-CC66E589CBD4}">
  <dimension ref="A1:X15"/>
  <sheetViews>
    <sheetView workbookViewId="0">
      <selection activeCell="F4" sqref="F4"/>
    </sheetView>
  </sheetViews>
  <sheetFormatPr defaultRowHeight="15" x14ac:dyDescent="0.25"/>
  <cols>
    <col min="4" max="4" width="11.140625" bestFit="1" customWidth="1"/>
  </cols>
  <sheetData>
    <row r="1" spans="1:24" ht="52.5" thickBot="1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24" ht="18" thickBot="1" x14ac:dyDescent="0.3">
      <c r="A2" s="12" t="s">
        <v>13</v>
      </c>
      <c r="B2" s="12">
        <v>25</v>
      </c>
      <c r="C2" s="12">
        <v>2</v>
      </c>
      <c r="D2" s="2" t="str">
        <f>IF(AND(B2&gt;=21,C2&gt;=1),"ELIGIBLE","NOT ELIGIBLE")</f>
        <v>ELIGIBLE</v>
      </c>
    </row>
    <row r="3" spans="1:24" ht="35.25" thickBot="1" x14ac:dyDescent="0.3">
      <c r="A3" s="13" t="s">
        <v>14</v>
      </c>
      <c r="B3" s="13">
        <v>20</v>
      </c>
      <c r="C3" s="13">
        <v>1</v>
      </c>
      <c r="D3" s="2" t="str">
        <f t="shared" ref="D3:D15" si="0">IF(AND(B3&gt;=21,C3&gt;=1),"ELIGIBLE","NOT ELIGIBLE")</f>
        <v>NOT ELIGIBLE</v>
      </c>
    </row>
    <row r="4" spans="1:24" ht="18" thickBot="1" x14ac:dyDescent="0.3">
      <c r="A4" s="12" t="s">
        <v>15</v>
      </c>
      <c r="B4" s="12">
        <v>30</v>
      </c>
      <c r="C4" s="12">
        <v>5</v>
      </c>
      <c r="D4" s="2" t="str">
        <f t="shared" si="0"/>
        <v>ELIGIBLE</v>
      </c>
    </row>
    <row r="5" spans="1:24" ht="35.25" thickBot="1" x14ac:dyDescent="0.3">
      <c r="A5" s="13" t="s">
        <v>16</v>
      </c>
      <c r="B5" s="13">
        <v>22</v>
      </c>
      <c r="C5" s="13">
        <v>0</v>
      </c>
      <c r="D5" s="2" t="str">
        <f t="shared" si="0"/>
        <v>NOT ELIGIBLE</v>
      </c>
      <c r="S5" s="4" t="s">
        <v>24</v>
      </c>
      <c r="T5" s="4"/>
      <c r="U5" s="4"/>
      <c r="V5" s="4"/>
      <c r="W5" s="4"/>
      <c r="X5" s="4"/>
    </row>
    <row r="6" spans="1:24" ht="18" thickBot="1" x14ac:dyDescent="0.3">
      <c r="A6" s="12" t="s">
        <v>13</v>
      </c>
      <c r="B6" s="12">
        <v>24.5</v>
      </c>
      <c r="C6" s="11">
        <v>2</v>
      </c>
      <c r="D6" s="2" t="str">
        <f t="shared" si="0"/>
        <v>ELIGIBLE</v>
      </c>
      <c r="S6" s="4"/>
      <c r="T6" s="4"/>
      <c r="U6" s="4"/>
      <c r="V6" s="4"/>
      <c r="W6" s="4"/>
      <c r="X6" s="4"/>
    </row>
    <row r="7" spans="1:24" ht="18" thickBot="1" x14ac:dyDescent="0.3">
      <c r="A7" s="13" t="s">
        <v>14</v>
      </c>
      <c r="B7" s="13">
        <v>24.6</v>
      </c>
      <c r="C7" s="11">
        <v>3</v>
      </c>
      <c r="D7" s="2" t="str">
        <f t="shared" si="0"/>
        <v>ELIGIBLE</v>
      </c>
      <c r="S7" s="4"/>
      <c r="T7" s="4"/>
      <c r="U7" s="4"/>
      <c r="V7" s="4"/>
      <c r="W7" s="4"/>
      <c r="X7" s="4"/>
    </row>
    <row r="8" spans="1:24" ht="18" thickBot="1" x14ac:dyDescent="0.3">
      <c r="A8" s="12" t="s">
        <v>15</v>
      </c>
      <c r="B8" s="12">
        <v>24.7</v>
      </c>
      <c r="C8" s="11">
        <v>1</v>
      </c>
      <c r="D8" s="2" t="str">
        <f t="shared" si="0"/>
        <v>ELIGIBLE</v>
      </c>
      <c r="S8" s="4"/>
      <c r="T8" s="4"/>
      <c r="U8" s="4"/>
      <c r="V8" s="4"/>
      <c r="W8" s="4"/>
      <c r="X8" s="4"/>
    </row>
    <row r="9" spans="1:24" ht="18" thickBot="1" x14ac:dyDescent="0.3">
      <c r="A9" s="13" t="s">
        <v>16</v>
      </c>
      <c r="B9" s="13">
        <v>24.8</v>
      </c>
      <c r="C9" s="11">
        <v>4</v>
      </c>
      <c r="D9" s="2" t="str">
        <f t="shared" si="0"/>
        <v>ELIGIBLE</v>
      </c>
      <c r="S9" s="4"/>
      <c r="T9" s="4"/>
      <c r="U9" s="4"/>
      <c r="V9" s="4"/>
      <c r="W9" s="4"/>
      <c r="X9" s="4"/>
    </row>
    <row r="10" spans="1:24" ht="18" thickBot="1" x14ac:dyDescent="0.3">
      <c r="A10" s="12" t="s">
        <v>13</v>
      </c>
      <c r="B10" s="12">
        <v>24.9</v>
      </c>
      <c r="C10" s="11">
        <v>2</v>
      </c>
      <c r="D10" s="2" t="str">
        <f t="shared" si="0"/>
        <v>ELIGIBLE</v>
      </c>
      <c r="S10" s="4"/>
      <c r="T10" s="4"/>
      <c r="U10" s="4"/>
      <c r="V10" s="4"/>
      <c r="W10" s="4"/>
      <c r="X10" s="4"/>
    </row>
    <row r="11" spans="1:24" ht="18" thickBot="1" x14ac:dyDescent="0.3">
      <c r="A11" s="13" t="s">
        <v>14</v>
      </c>
      <c r="B11" s="13">
        <v>25</v>
      </c>
      <c r="C11" s="11">
        <v>2</v>
      </c>
      <c r="D11" s="2" t="str">
        <f t="shared" si="0"/>
        <v>ELIGIBLE</v>
      </c>
      <c r="S11" s="4"/>
      <c r="T11" s="4"/>
      <c r="U11" s="4"/>
      <c r="V11" s="4"/>
      <c r="W11" s="4"/>
      <c r="X11" s="4"/>
    </row>
    <row r="12" spans="1:24" ht="18" thickBot="1" x14ac:dyDescent="0.3">
      <c r="A12" s="12" t="s">
        <v>15</v>
      </c>
      <c r="B12" s="12">
        <v>25.1</v>
      </c>
      <c r="C12" s="11">
        <v>7</v>
      </c>
      <c r="D12" s="2" t="str">
        <f t="shared" si="0"/>
        <v>ELIGIBLE</v>
      </c>
      <c r="S12" s="4"/>
      <c r="T12" s="4"/>
      <c r="U12" s="4"/>
      <c r="V12" s="4"/>
      <c r="W12" s="4"/>
      <c r="X12" s="4"/>
    </row>
    <row r="13" spans="1:24" ht="18" thickBot="1" x14ac:dyDescent="0.3">
      <c r="A13" s="13" t="s">
        <v>16</v>
      </c>
      <c r="B13" s="13">
        <v>25.2</v>
      </c>
      <c r="C13" s="11">
        <v>5</v>
      </c>
      <c r="D13" s="2" t="str">
        <f t="shared" si="0"/>
        <v>ELIGIBLE</v>
      </c>
      <c r="S13" s="4"/>
      <c r="T13" s="4"/>
      <c r="U13" s="4"/>
      <c r="V13" s="4"/>
      <c r="W13" s="4"/>
      <c r="X13" s="4"/>
    </row>
    <row r="14" spans="1:24" ht="18" thickBot="1" x14ac:dyDescent="0.3">
      <c r="A14" s="12" t="s">
        <v>13</v>
      </c>
      <c r="B14" s="12">
        <v>25.3</v>
      </c>
      <c r="C14" s="11">
        <v>3</v>
      </c>
      <c r="D14" s="2" t="str">
        <f t="shared" si="0"/>
        <v>ELIGIBLE</v>
      </c>
    </row>
    <row r="15" spans="1:24" ht="18" thickBot="1" x14ac:dyDescent="0.3">
      <c r="A15" s="12" t="s">
        <v>13</v>
      </c>
      <c r="B15" s="13">
        <v>25.4</v>
      </c>
      <c r="C15" s="11">
        <v>4</v>
      </c>
      <c r="D15" s="2" t="str">
        <f t="shared" si="0"/>
        <v>ELIGIBLE</v>
      </c>
    </row>
  </sheetData>
  <mergeCells count="1">
    <mergeCell ref="S5:X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D267-10E5-480F-8221-A7AC5A5D64EF}">
  <dimension ref="A1:V15"/>
  <sheetViews>
    <sheetView workbookViewId="0">
      <selection activeCell="F2" sqref="F2"/>
    </sheetView>
  </sheetViews>
  <sheetFormatPr defaultRowHeight="15" x14ac:dyDescent="0.25"/>
  <sheetData>
    <row r="1" spans="1:22" ht="57" x14ac:dyDescent="0.25">
      <c r="A1" s="14" t="s">
        <v>1</v>
      </c>
      <c r="B1" s="14" t="s">
        <v>25</v>
      </c>
      <c r="C1" s="14" t="s">
        <v>26</v>
      </c>
      <c r="D1" s="14" t="s">
        <v>23</v>
      </c>
    </row>
    <row r="2" spans="1:22" x14ac:dyDescent="0.25">
      <c r="A2" s="15" t="s">
        <v>4</v>
      </c>
      <c r="B2" s="15">
        <v>85</v>
      </c>
      <c r="C2" s="15" t="s">
        <v>27</v>
      </c>
      <c r="D2" s="15" t="str">
        <f>IF(AND(B2&gt;=75,C2,"YES"),"ELIGIBLE","NOT ELIGIBLE")</f>
        <v>ELIGIBLE</v>
      </c>
    </row>
    <row r="3" spans="1:22" ht="28.5" x14ac:dyDescent="0.25">
      <c r="A3" s="16" t="s">
        <v>5</v>
      </c>
      <c r="B3" s="16">
        <v>72</v>
      </c>
      <c r="C3" s="16" t="s">
        <v>27</v>
      </c>
      <c r="D3" s="15" t="str">
        <f t="shared" ref="D3:D15" si="0">IF(AND(B3&gt;=75,C3,"YES"),"ELIGIBLE","NOT ELIGIBLE")</f>
        <v>NOT ELIGIBLE</v>
      </c>
    </row>
    <row r="4" spans="1:22" x14ac:dyDescent="0.25">
      <c r="A4" s="15" t="s">
        <v>6</v>
      </c>
      <c r="B4" s="15">
        <v>90</v>
      </c>
      <c r="C4" s="15" t="s">
        <v>28</v>
      </c>
      <c r="D4" s="15" t="str">
        <f t="shared" si="0"/>
        <v>ELIGIBLE</v>
      </c>
    </row>
    <row r="5" spans="1:22" x14ac:dyDescent="0.25">
      <c r="A5" s="16" t="s">
        <v>7</v>
      </c>
      <c r="B5" s="16">
        <v>80</v>
      </c>
      <c r="C5" s="16" t="s">
        <v>27</v>
      </c>
      <c r="D5" s="15" t="str">
        <f t="shared" si="0"/>
        <v>ELIGIBLE</v>
      </c>
    </row>
    <row r="6" spans="1:22" x14ac:dyDescent="0.25">
      <c r="A6" s="15" t="s">
        <v>4</v>
      </c>
      <c r="B6" s="15">
        <v>82.5</v>
      </c>
      <c r="C6" s="15" t="s">
        <v>27</v>
      </c>
      <c r="D6" s="15" t="str">
        <f t="shared" si="0"/>
        <v>ELIGIBLE</v>
      </c>
      <c r="S6" s="4" t="s">
        <v>29</v>
      </c>
      <c r="T6" s="4"/>
      <c r="U6" s="4"/>
      <c r="V6" s="4"/>
    </row>
    <row r="7" spans="1:22" x14ac:dyDescent="0.25">
      <c r="A7" s="16" t="s">
        <v>5</v>
      </c>
      <c r="B7" s="16">
        <v>82.8</v>
      </c>
      <c r="C7" s="16" t="s">
        <v>27</v>
      </c>
      <c r="D7" s="15" t="str">
        <f t="shared" si="0"/>
        <v>ELIGIBLE</v>
      </c>
      <c r="S7" s="4"/>
      <c r="T7" s="4"/>
      <c r="U7" s="4"/>
      <c r="V7" s="4"/>
    </row>
    <row r="8" spans="1:22" x14ac:dyDescent="0.25">
      <c r="A8" s="15" t="s">
        <v>6</v>
      </c>
      <c r="B8" s="15">
        <v>83.1</v>
      </c>
      <c r="C8" s="15" t="s">
        <v>28</v>
      </c>
      <c r="D8" s="15" t="str">
        <f t="shared" si="0"/>
        <v>ELIGIBLE</v>
      </c>
      <c r="S8" s="4"/>
      <c r="T8" s="4"/>
      <c r="U8" s="4"/>
      <c r="V8" s="4"/>
    </row>
    <row r="9" spans="1:22" x14ac:dyDescent="0.25">
      <c r="A9" s="16" t="s">
        <v>7</v>
      </c>
      <c r="B9" s="16">
        <v>83.4</v>
      </c>
      <c r="C9" s="16" t="s">
        <v>27</v>
      </c>
      <c r="D9" s="15" t="str">
        <f t="shared" si="0"/>
        <v>ELIGIBLE</v>
      </c>
      <c r="S9" s="4"/>
      <c r="T9" s="4"/>
      <c r="U9" s="4"/>
      <c r="V9" s="4"/>
    </row>
    <row r="10" spans="1:22" x14ac:dyDescent="0.25">
      <c r="A10" s="15" t="s">
        <v>4</v>
      </c>
      <c r="B10" s="15">
        <v>83.7</v>
      </c>
      <c r="C10" s="15" t="s">
        <v>27</v>
      </c>
      <c r="D10" s="15" t="str">
        <f t="shared" si="0"/>
        <v>ELIGIBLE</v>
      </c>
      <c r="S10" s="4"/>
      <c r="T10" s="4"/>
      <c r="U10" s="4"/>
      <c r="V10" s="4"/>
    </row>
    <row r="11" spans="1:22" x14ac:dyDescent="0.25">
      <c r="A11" s="16" t="s">
        <v>5</v>
      </c>
      <c r="B11" s="16">
        <v>84</v>
      </c>
      <c r="C11" s="16" t="s">
        <v>27</v>
      </c>
      <c r="D11" s="15" t="str">
        <f t="shared" si="0"/>
        <v>ELIGIBLE</v>
      </c>
      <c r="S11" s="4"/>
      <c r="T11" s="4"/>
      <c r="U11" s="4"/>
      <c r="V11" s="4"/>
    </row>
    <row r="12" spans="1:22" x14ac:dyDescent="0.25">
      <c r="A12" s="15" t="s">
        <v>6</v>
      </c>
      <c r="B12" s="15">
        <v>84.3</v>
      </c>
      <c r="C12" s="15" t="s">
        <v>28</v>
      </c>
      <c r="D12" s="15" t="str">
        <f t="shared" si="0"/>
        <v>ELIGIBLE</v>
      </c>
      <c r="S12" s="4"/>
      <c r="T12" s="4"/>
      <c r="U12" s="4"/>
      <c r="V12" s="4"/>
    </row>
    <row r="13" spans="1:22" x14ac:dyDescent="0.25">
      <c r="A13" s="16" t="s">
        <v>7</v>
      </c>
      <c r="B13" s="16">
        <v>84.6</v>
      </c>
      <c r="C13" s="16" t="s">
        <v>27</v>
      </c>
      <c r="D13" s="15" t="str">
        <f t="shared" si="0"/>
        <v>ELIGIBLE</v>
      </c>
      <c r="S13" s="4"/>
      <c r="T13" s="4"/>
      <c r="U13" s="4"/>
      <c r="V13" s="4"/>
    </row>
    <row r="14" spans="1:22" x14ac:dyDescent="0.25">
      <c r="A14" s="15" t="s">
        <v>4</v>
      </c>
      <c r="B14" s="15">
        <v>84.9</v>
      </c>
      <c r="C14" s="15" t="s">
        <v>27</v>
      </c>
      <c r="D14" s="15" t="str">
        <f t="shared" si="0"/>
        <v>ELIGIBLE</v>
      </c>
      <c r="S14" s="4"/>
      <c r="T14" s="4"/>
      <c r="U14" s="4"/>
      <c r="V14" s="4"/>
    </row>
    <row r="15" spans="1:22" x14ac:dyDescent="0.25">
      <c r="A15" s="16" t="s">
        <v>5</v>
      </c>
      <c r="B15" s="16">
        <v>85.2</v>
      </c>
      <c r="C15" s="16" t="s">
        <v>27</v>
      </c>
      <c r="D15" s="15" t="str">
        <f t="shared" si="0"/>
        <v>ELIGIBLE</v>
      </c>
    </row>
  </sheetData>
  <mergeCells count="1">
    <mergeCell ref="S6:V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BE69-5D88-4B8C-B9F0-942A49E5C7B9}">
  <dimension ref="A1:W15"/>
  <sheetViews>
    <sheetView workbookViewId="0">
      <selection activeCell="E3" sqref="E3"/>
    </sheetView>
  </sheetViews>
  <sheetFormatPr defaultRowHeight="15" x14ac:dyDescent="0.25"/>
  <cols>
    <col min="2" max="2" width="9.85546875" bestFit="1" customWidth="1"/>
  </cols>
  <sheetData>
    <row r="1" spans="1:23" ht="42.75" x14ac:dyDescent="0.25">
      <c r="A1" s="14" t="s">
        <v>30</v>
      </c>
      <c r="B1" s="14" t="s">
        <v>31</v>
      </c>
      <c r="C1" s="14" t="s">
        <v>32</v>
      </c>
      <c r="D1" s="14" t="s">
        <v>33</v>
      </c>
    </row>
    <row r="2" spans="1:23" ht="42.75" x14ac:dyDescent="0.25">
      <c r="A2" s="15" t="s">
        <v>34</v>
      </c>
      <c r="B2" s="15">
        <v>9000</v>
      </c>
      <c r="C2" s="15" t="s">
        <v>28</v>
      </c>
      <c r="D2" s="15" t="str">
        <f>IF(OR(B2&gt;=10000,C2="YES"),"DISCOUNT","NO DISCOUNT")</f>
        <v>NO DISCOUNT</v>
      </c>
    </row>
    <row r="3" spans="1:23" ht="28.5" x14ac:dyDescent="0.25">
      <c r="A3" s="16" t="s">
        <v>35</v>
      </c>
      <c r="B3" s="16">
        <v>12000</v>
      </c>
      <c r="C3" s="16" t="s">
        <v>28</v>
      </c>
      <c r="D3" s="15" t="str">
        <f t="shared" ref="D3:D15" si="0">IF(OR(B3&gt;=10000,C3,"YES"),"DISCOUNT","NO DISCOUNT")</f>
        <v>DISCOUNT</v>
      </c>
    </row>
    <row r="4" spans="1:23" ht="42.75" x14ac:dyDescent="0.25">
      <c r="A4" s="15" t="s">
        <v>6</v>
      </c>
      <c r="B4" s="15">
        <v>4000</v>
      </c>
      <c r="C4" s="15" t="s">
        <v>27</v>
      </c>
      <c r="D4" s="15" t="str">
        <f t="shared" si="0"/>
        <v>NO DISCOUNT</v>
      </c>
    </row>
    <row r="5" spans="1:23" ht="42.75" x14ac:dyDescent="0.25">
      <c r="A5" s="16" t="s">
        <v>36</v>
      </c>
      <c r="B5" s="16">
        <v>3000</v>
      </c>
      <c r="C5" s="16" t="s">
        <v>28</v>
      </c>
      <c r="D5" s="15" t="str">
        <f t="shared" si="0"/>
        <v>NO DISCOUNT</v>
      </c>
    </row>
    <row r="6" spans="1:23" ht="42.75" x14ac:dyDescent="0.25">
      <c r="A6" s="15" t="s">
        <v>34</v>
      </c>
      <c r="B6" s="15">
        <v>5000</v>
      </c>
      <c r="C6" s="15" t="s">
        <v>28</v>
      </c>
      <c r="D6" s="15" t="str">
        <f t="shared" si="0"/>
        <v>NO DISCOUNT</v>
      </c>
      <c r="T6" s="4" t="s">
        <v>37</v>
      </c>
      <c r="U6" s="4"/>
      <c r="V6" s="4"/>
      <c r="W6" s="4"/>
    </row>
    <row r="7" spans="1:23" ht="28.5" x14ac:dyDescent="0.25">
      <c r="A7" s="16" t="s">
        <v>35</v>
      </c>
      <c r="B7" s="16">
        <v>11732</v>
      </c>
      <c r="C7" s="16" t="s">
        <v>28</v>
      </c>
      <c r="D7" s="15" t="str">
        <f t="shared" si="0"/>
        <v>DISCOUNT</v>
      </c>
      <c r="T7" s="4"/>
      <c r="U7" s="4"/>
      <c r="V7" s="4"/>
      <c r="W7" s="4"/>
    </row>
    <row r="8" spans="1:23" ht="42.75" x14ac:dyDescent="0.25">
      <c r="A8" s="15" t="s">
        <v>6</v>
      </c>
      <c r="B8" s="16">
        <v>8809</v>
      </c>
      <c r="C8" s="15" t="s">
        <v>27</v>
      </c>
      <c r="D8" s="15" t="str">
        <f t="shared" si="0"/>
        <v>NO DISCOUNT</v>
      </c>
      <c r="T8" s="4"/>
      <c r="U8" s="4"/>
      <c r="V8" s="4"/>
      <c r="W8" s="4"/>
    </row>
    <row r="9" spans="1:23" ht="42.75" x14ac:dyDescent="0.25">
      <c r="A9" s="16" t="s">
        <v>36</v>
      </c>
      <c r="B9" s="16">
        <v>6123</v>
      </c>
      <c r="C9" s="16" t="s">
        <v>28</v>
      </c>
      <c r="D9" s="15" t="str">
        <f t="shared" si="0"/>
        <v>NO DISCOUNT</v>
      </c>
      <c r="T9" s="4"/>
      <c r="U9" s="4"/>
      <c r="V9" s="4"/>
      <c r="W9" s="4"/>
    </row>
    <row r="10" spans="1:23" ht="42.75" x14ac:dyDescent="0.25">
      <c r="A10" s="15" t="s">
        <v>34</v>
      </c>
      <c r="B10" s="16">
        <v>9687</v>
      </c>
      <c r="C10" s="15" t="s">
        <v>28</v>
      </c>
      <c r="D10" s="15" t="str">
        <f t="shared" si="0"/>
        <v>NO DISCOUNT</v>
      </c>
      <c r="T10" s="4"/>
      <c r="U10" s="4"/>
      <c r="V10" s="4"/>
      <c r="W10" s="4"/>
    </row>
    <row r="11" spans="1:23" ht="42.75" x14ac:dyDescent="0.25">
      <c r="A11" s="16" t="s">
        <v>35</v>
      </c>
      <c r="B11" s="16">
        <v>6682</v>
      </c>
      <c r="C11" s="16" t="s">
        <v>28</v>
      </c>
      <c r="D11" s="15" t="str">
        <f t="shared" si="0"/>
        <v>NO DISCOUNT</v>
      </c>
    </row>
    <row r="12" spans="1:23" ht="28.5" x14ac:dyDescent="0.25">
      <c r="A12" s="15" t="s">
        <v>6</v>
      </c>
      <c r="B12" s="16">
        <v>11669</v>
      </c>
      <c r="C12" s="15" t="s">
        <v>27</v>
      </c>
      <c r="D12" s="15" t="str">
        <f>IF(OR(B12&gt;=10000,C12="YES"),"DISCOUNT","NO DISCOUNT")</f>
        <v>DISCOUNT</v>
      </c>
    </row>
    <row r="13" spans="1:23" ht="28.5" x14ac:dyDescent="0.25">
      <c r="A13" s="16" t="s">
        <v>36</v>
      </c>
      <c r="B13" s="16">
        <v>11130</v>
      </c>
      <c r="C13" s="16" t="s">
        <v>28</v>
      </c>
      <c r="D13" s="15" t="str">
        <f t="shared" si="0"/>
        <v>DISCOUNT</v>
      </c>
    </row>
    <row r="14" spans="1:23" ht="42.75" x14ac:dyDescent="0.25">
      <c r="A14" s="15" t="s">
        <v>34</v>
      </c>
      <c r="B14" s="16">
        <v>5384</v>
      </c>
      <c r="C14" s="15" t="s">
        <v>28</v>
      </c>
      <c r="D14" s="15" t="str">
        <f t="shared" si="0"/>
        <v>NO DISCOUNT</v>
      </c>
    </row>
    <row r="15" spans="1:23" ht="28.5" x14ac:dyDescent="0.25">
      <c r="A15" s="16" t="s">
        <v>35</v>
      </c>
      <c r="B15" s="16">
        <v>13544</v>
      </c>
      <c r="C15" s="16" t="s">
        <v>28</v>
      </c>
      <c r="D15" s="15" t="str">
        <f t="shared" si="0"/>
        <v>DISCOUNT</v>
      </c>
    </row>
  </sheetData>
  <mergeCells count="1">
    <mergeCell ref="T6:W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7D59-8A5C-4628-906C-63036A22CBF6}">
  <dimension ref="A1:V15"/>
  <sheetViews>
    <sheetView workbookViewId="0">
      <selection activeCell="D2" sqref="D2"/>
    </sheetView>
  </sheetViews>
  <sheetFormatPr defaultRowHeight="15" x14ac:dyDescent="0.25"/>
  <sheetData>
    <row r="1" spans="1:22" ht="35.25" thickBot="1" x14ac:dyDescent="0.3">
      <c r="A1" s="1" t="s">
        <v>38</v>
      </c>
      <c r="B1" s="1" t="s">
        <v>11</v>
      </c>
      <c r="C1" s="1" t="s">
        <v>39</v>
      </c>
      <c r="D1" s="1" t="s">
        <v>40</v>
      </c>
    </row>
    <row r="2" spans="1:22" ht="35.25" thickBot="1" x14ac:dyDescent="0.3">
      <c r="A2" s="2" t="s">
        <v>13</v>
      </c>
      <c r="B2" s="2">
        <v>35000</v>
      </c>
      <c r="C2" s="2">
        <v>720</v>
      </c>
      <c r="D2" s="2" t="str">
        <f>IF(OR(B2&gt;=40000,C2&gt;=700),"ELIGIBLE","REJECTED")</f>
        <v>ELIGIBLE</v>
      </c>
    </row>
    <row r="3" spans="1:22" ht="35.25" thickBot="1" x14ac:dyDescent="0.3">
      <c r="A3" s="3" t="s">
        <v>14</v>
      </c>
      <c r="B3" s="3">
        <v>25000</v>
      </c>
      <c r="C3" s="3">
        <v>680</v>
      </c>
      <c r="D3" s="2" t="str">
        <f t="shared" ref="D3:D15" si="0">IF(OR(B3&gt;=40000,C3&gt;=700),"ELIGIBLE","REJECTED")</f>
        <v>REJECTED</v>
      </c>
    </row>
    <row r="4" spans="1:22" ht="35.25" thickBot="1" x14ac:dyDescent="0.3">
      <c r="A4" s="2" t="s">
        <v>15</v>
      </c>
      <c r="B4" s="2">
        <v>50000</v>
      </c>
      <c r="C4" s="2">
        <v>650</v>
      </c>
      <c r="D4" s="2" t="str">
        <f t="shared" si="0"/>
        <v>ELIGIBLE</v>
      </c>
    </row>
    <row r="5" spans="1:22" ht="35.25" thickBot="1" x14ac:dyDescent="0.3">
      <c r="A5" s="3" t="s">
        <v>16</v>
      </c>
      <c r="B5" s="3">
        <v>20000</v>
      </c>
      <c r="C5" s="3">
        <v>600</v>
      </c>
      <c r="D5" s="2" t="str">
        <f t="shared" si="0"/>
        <v>REJECTED</v>
      </c>
    </row>
    <row r="6" spans="1:22" ht="35.25" thickBot="1" x14ac:dyDescent="0.3">
      <c r="A6" s="2" t="s">
        <v>13</v>
      </c>
      <c r="B6" s="2">
        <v>27500</v>
      </c>
      <c r="C6" s="2">
        <v>565</v>
      </c>
      <c r="D6" s="2" t="str">
        <f t="shared" si="0"/>
        <v>REJECTED</v>
      </c>
    </row>
    <row r="7" spans="1:22" ht="35.25" thickBot="1" x14ac:dyDescent="0.3">
      <c r="A7" s="3" t="s">
        <v>14</v>
      </c>
      <c r="B7" s="3">
        <v>25500</v>
      </c>
      <c r="C7" s="3">
        <v>526</v>
      </c>
      <c r="D7" s="2" t="str">
        <f t="shared" si="0"/>
        <v>REJECTED</v>
      </c>
      <c r="S7" s="4" t="s">
        <v>41</v>
      </c>
      <c r="T7" s="4"/>
      <c r="U7" s="4"/>
      <c r="V7" s="4"/>
    </row>
    <row r="8" spans="1:22" ht="35.25" thickBot="1" x14ac:dyDescent="0.3">
      <c r="A8" s="2" t="s">
        <v>15</v>
      </c>
      <c r="B8" s="2">
        <v>23500</v>
      </c>
      <c r="C8" s="2">
        <v>487</v>
      </c>
      <c r="D8" s="2" t="str">
        <f t="shared" si="0"/>
        <v>REJECTED</v>
      </c>
      <c r="S8" s="4"/>
      <c r="T8" s="4"/>
      <c r="U8" s="4"/>
      <c r="V8" s="4"/>
    </row>
    <row r="9" spans="1:22" ht="35.25" thickBot="1" x14ac:dyDescent="0.3">
      <c r="A9" s="3" t="s">
        <v>16</v>
      </c>
      <c r="B9" s="3">
        <v>21500</v>
      </c>
      <c r="C9" s="3">
        <v>448</v>
      </c>
      <c r="D9" s="2" t="str">
        <f t="shared" si="0"/>
        <v>REJECTED</v>
      </c>
      <c r="S9" s="4"/>
      <c r="T9" s="4"/>
      <c r="U9" s="4"/>
      <c r="V9" s="4"/>
    </row>
    <row r="10" spans="1:22" ht="35.25" thickBot="1" x14ac:dyDescent="0.3">
      <c r="A10" s="2" t="s">
        <v>13</v>
      </c>
      <c r="B10" s="2">
        <v>19500</v>
      </c>
      <c r="C10" s="2">
        <v>409</v>
      </c>
      <c r="D10" s="2" t="str">
        <f t="shared" si="0"/>
        <v>REJECTED</v>
      </c>
      <c r="S10" s="4"/>
      <c r="T10" s="4"/>
      <c r="U10" s="4"/>
      <c r="V10" s="4"/>
    </row>
    <row r="11" spans="1:22" ht="35.25" thickBot="1" x14ac:dyDescent="0.3">
      <c r="A11" s="3" t="s">
        <v>14</v>
      </c>
      <c r="B11" s="3">
        <v>17500</v>
      </c>
      <c r="C11" s="3">
        <v>370</v>
      </c>
      <c r="D11" s="2" t="str">
        <f t="shared" si="0"/>
        <v>REJECTED</v>
      </c>
      <c r="S11" s="4"/>
      <c r="T11" s="4"/>
      <c r="U11" s="4"/>
      <c r="V11" s="4"/>
    </row>
    <row r="12" spans="1:22" ht="35.25" thickBot="1" x14ac:dyDescent="0.3">
      <c r="A12" s="2" t="s">
        <v>15</v>
      </c>
      <c r="B12" s="2">
        <v>15500</v>
      </c>
      <c r="C12" s="2">
        <v>331</v>
      </c>
      <c r="D12" s="2" t="str">
        <f t="shared" si="0"/>
        <v>REJECTED</v>
      </c>
    </row>
    <row r="13" spans="1:22" ht="35.25" thickBot="1" x14ac:dyDescent="0.3">
      <c r="A13" s="3" t="s">
        <v>16</v>
      </c>
      <c r="B13" s="3">
        <v>13500</v>
      </c>
      <c r="C13" s="3">
        <v>292</v>
      </c>
      <c r="D13" s="2" t="str">
        <f t="shared" si="0"/>
        <v>REJECTED</v>
      </c>
    </row>
    <row r="14" spans="1:22" ht="35.25" thickBot="1" x14ac:dyDescent="0.3">
      <c r="A14" s="2" t="s">
        <v>13</v>
      </c>
      <c r="B14" s="2">
        <v>11500</v>
      </c>
      <c r="C14" s="2">
        <v>253</v>
      </c>
      <c r="D14" s="2" t="str">
        <f t="shared" si="0"/>
        <v>REJECTED</v>
      </c>
    </row>
    <row r="15" spans="1:22" ht="35.25" thickBot="1" x14ac:dyDescent="0.3">
      <c r="A15" s="2" t="s">
        <v>13</v>
      </c>
      <c r="B15" s="3">
        <v>9500</v>
      </c>
      <c r="C15" s="3">
        <v>214</v>
      </c>
      <c r="D15" s="2" t="str">
        <f t="shared" si="0"/>
        <v>REJECTED</v>
      </c>
    </row>
  </sheetData>
  <mergeCells count="1">
    <mergeCell ref="S7:V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B047-B916-4BB4-A886-19AF35CFEB88}">
  <dimension ref="A1:U15"/>
  <sheetViews>
    <sheetView workbookViewId="0">
      <selection activeCell="C2" sqref="C2"/>
    </sheetView>
  </sheetViews>
  <sheetFormatPr defaultRowHeight="15" x14ac:dyDescent="0.25"/>
  <sheetData>
    <row r="1" spans="1:21" ht="16.5" x14ac:dyDescent="0.25">
      <c r="A1" s="17" t="s">
        <v>20</v>
      </c>
      <c r="B1" s="17" t="s">
        <v>42</v>
      </c>
      <c r="C1" s="17" t="s">
        <v>43</v>
      </c>
    </row>
    <row r="2" spans="1:21" ht="33" x14ac:dyDescent="0.25">
      <c r="A2" s="18" t="s">
        <v>4</v>
      </c>
      <c r="B2" s="18" t="b">
        <v>1</v>
      </c>
      <c r="C2" s="18" t="str">
        <f>IF(NOT(B2),"ABSENT","PRESENT")</f>
        <v>PRESENT</v>
      </c>
    </row>
    <row r="3" spans="1:21" ht="33" x14ac:dyDescent="0.25">
      <c r="A3" s="19" t="s">
        <v>5</v>
      </c>
      <c r="B3" s="19" t="b">
        <v>0</v>
      </c>
      <c r="C3" s="18" t="str">
        <f t="shared" ref="C3:C15" si="0">IF(NOT(B3),"ABSENT","PRESENT")</f>
        <v>ABSENT</v>
      </c>
    </row>
    <row r="4" spans="1:21" ht="33" x14ac:dyDescent="0.25">
      <c r="A4" s="18" t="s">
        <v>6</v>
      </c>
      <c r="B4" s="18" t="b">
        <v>1</v>
      </c>
      <c r="C4" s="18" t="str">
        <f t="shared" si="0"/>
        <v>PRESENT</v>
      </c>
    </row>
    <row r="5" spans="1:21" ht="33" x14ac:dyDescent="0.25">
      <c r="A5" s="19" t="s">
        <v>7</v>
      </c>
      <c r="B5" s="19" t="b">
        <v>0</v>
      </c>
      <c r="C5" s="18" t="str">
        <f t="shared" si="0"/>
        <v>ABSENT</v>
      </c>
    </row>
    <row r="6" spans="1:21" ht="33" x14ac:dyDescent="0.25">
      <c r="A6" s="18" t="s">
        <v>4</v>
      </c>
      <c r="B6" s="18" t="b">
        <v>1</v>
      </c>
      <c r="C6" s="18" t="str">
        <f t="shared" si="0"/>
        <v>PRESENT</v>
      </c>
    </row>
    <row r="7" spans="1:21" ht="33" x14ac:dyDescent="0.25">
      <c r="A7" s="19" t="s">
        <v>5</v>
      </c>
      <c r="B7" s="19" t="b">
        <v>0</v>
      </c>
      <c r="C7" s="18" t="str">
        <f t="shared" si="0"/>
        <v>ABSENT</v>
      </c>
      <c r="R7" s="5" t="s">
        <v>44</v>
      </c>
      <c r="S7" s="4"/>
      <c r="T7" s="4"/>
      <c r="U7" s="4"/>
    </row>
    <row r="8" spans="1:21" ht="33" x14ac:dyDescent="0.25">
      <c r="A8" s="18" t="s">
        <v>6</v>
      </c>
      <c r="B8" s="18" t="b">
        <v>1</v>
      </c>
      <c r="C8" s="18" t="str">
        <f t="shared" si="0"/>
        <v>PRESENT</v>
      </c>
      <c r="R8" s="4"/>
      <c r="S8" s="4"/>
      <c r="T8" s="4"/>
      <c r="U8" s="4"/>
    </row>
    <row r="9" spans="1:21" ht="33" x14ac:dyDescent="0.25">
      <c r="A9" s="19" t="s">
        <v>7</v>
      </c>
      <c r="B9" s="19" t="b">
        <v>0</v>
      </c>
      <c r="C9" s="18" t="str">
        <f t="shared" si="0"/>
        <v>ABSENT</v>
      </c>
      <c r="R9" s="4"/>
      <c r="S9" s="4"/>
      <c r="T9" s="4"/>
      <c r="U9" s="4"/>
    </row>
    <row r="10" spans="1:21" ht="33" x14ac:dyDescent="0.25">
      <c r="A10" s="18" t="s">
        <v>4</v>
      </c>
      <c r="B10" s="18" t="b">
        <v>1</v>
      </c>
      <c r="C10" s="18" t="str">
        <f t="shared" si="0"/>
        <v>PRESENT</v>
      </c>
      <c r="R10" s="4"/>
      <c r="S10" s="4"/>
      <c r="T10" s="4"/>
      <c r="U10" s="4"/>
    </row>
    <row r="11" spans="1:21" ht="33" x14ac:dyDescent="0.25">
      <c r="A11" s="19" t="s">
        <v>5</v>
      </c>
      <c r="B11" s="19" t="b">
        <v>0</v>
      </c>
      <c r="C11" s="18" t="str">
        <f t="shared" si="0"/>
        <v>ABSENT</v>
      </c>
      <c r="R11" s="4"/>
      <c r="S11" s="4"/>
      <c r="T11" s="4"/>
      <c r="U11" s="4"/>
    </row>
    <row r="12" spans="1:21" ht="33" x14ac:dyDescent="0.25">
      <c r="A12" s="18" t="s">
        <v>6</v>
      </c>
      <c r="B12" s="18" t="b">
        <v>1</v>
      </c>
      <c r="C12" s="18" t="str">
        <f t="shared" si="0"/>
        <v>PRESENT</v>
      </c>
      <c r="R12" s="4"/>
      <c r="S12" s="4"/>
      <c r="T12" s="4"/>
      <c r="U12" s="4"/>
    </row>
    <row r="13" spans="1:21" ht="33" x14ac:dyDescent="0.25">
      <c r="A13" s="19" t="s">
        <v>7</v>
      </c>
      <c r="B13" s="19" t="b">
        <v>0</v>
      </c>
      <c r="C13" s="18" t="str">
        <f t="shared" si="0"/>
        <v>ABSENT</v>
      </c>
      <c r="R13" s="4"/>
      <c r="S13" s="4"/>
      <c r="T13" s="4"/>
      <c r="U13" s="4"/>
    </row>
    <row r="14" spans="1:21" ht="33" x14ac:dyDescent="0.25">
      <c r="A14" s="18" t="s">
        <v>4</v>
      </c>
      <c r="B14" s="18" t="b">
        <v>1</v>
      </c>
      <c r="C14" s="18" t="str">
        <f t="shared" si="0"/>
        <v>PRESENT</v>
      </c>
      <c r="R14" s="4"/>
      <c r="S14" s="4"/>
      <c r="T14" s="4"/>
      <c r="U14" s="4"/>
    </row>
    <row r="15" spans="1:21" ht="33" x14ac:dyDescent="0.25">
      <c r="A15" s="19" t="s">
        <v>5</v>
      </c>
      <c r="B15" s="19" t="b">
        <v>0</v>
      </c>
      <c r="C15" s="18" t="str">
        <f t="shared" si="0"/>
        <v>ABSENT</v>
      </c>
    </row>
  </sheetData>
  <mergeCells count="1">
    <mergeCell ref="R7:U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C0B1-7D62-4341-9440-E0DC059367F3}">
  <dimension ref="A1:W15"/>
  <sheetViews>
    <sheetView workbookViewId="0">
      <selection activeCell="G5" sqref="G5"/>
    </sheetView>
  </sheetViews>
  <sheetFormatPr defaultRowHeight="15" x14ac:dyDescent="0.25"/>
  <sheetData>
    <row r="1" spans="1:23" ht="33" x14ac:dyDescent="0.25">
      <c r="A1" s="20" t="s">
        <v>45</v>
      </c>
      <c r="B1" s="20" t="s">
        <v>46</v>
      </c>
      <c r="C1" s="20" t="s">
        <v>3</v>
      </c>
    </row>
    <row r="2" spans="1:23" ht="16.5" x14ac:dyDescent="0.25">
      <c r="A2" s="21">
        <v>10</v>
      </c>
      <c r="B2" s="21">
        <v>2</v>
      </c>
      <c r="C2" s="21">
        <f>IFERROR(A2/B2,"INVALID")</f>
        <v>5</v>
      </c>
    </row>
    <row r="3" spans="1:23" ht="16.5" x14ac:dyDescent="0.25">
      <c r="A3" s="22">
        <v>15</v>
      </c>
      <c r="B3" s="22">
        <v>0</v>
      </c>
      <c r="C3" s="21" t="str">
        <f t="shared" ref="C3:C15" si="0">IFERROR(A3/B3,"INVALID")</f>
        <v>INVALID</v>
      </c>
    </row>
    <row r="4" spans="1:23" ht="16.5" x14ac:dyDescent="0.25">
      <c r="A4" s="21">
        <v>20</v>
      </c>
      <c r="B4" s="21">
        <v>5</v>
      </c>
      <c r="C4" s="21">
        <f t="shared" si="0"/>
        <v>4</v>
      </c>
    </row>
    <row r="5" spans="1:23" ht="16.5" x14ac:dyDescent="0.25">
      <c r="A5" s="22">
        <v>8</v>
      </c>
      <c r="B5" s="22">
        <v>0</v>
      </c>
      <c r="C5" s="21" t="str">
        <f t="shared" si="0"/>
        <v>INVALID</v>
      </c>
    </row>
    <row r="6" spans="1:23" ht="16.5" x14ac:dyDescent="0.25">
      <c r="A6" s="23">
        <v>8</v>
      </c>
      <c r="B6" s="23">
        <v>8</v>
      </c>
      <c r="C6" s="21">
        <f t="shared" si="0"/>
        <v>1</v>
      </c>
    </row>
    <row r="7" spans="1:23" ht="16.5" x14ac:dyDescent="0.25">
      <c r="A7" s="23">
        <v>15</v>
      </c>
      <c r="B7" s="23">
        <v>10</v>
      </c>
      <c r="C7" s="21">
        <f t="shared" si="0"/>
        <v>1.5</v>
      </c>
    </row>
    <row r="8" spans="1:23" ht="16.5" x14ac:dyDescent="0.25">
      <c r="A8" s="23">
        <v>11</v>
      </c>
      <c r="B8" s="23">
        <v>9</v>
      </c>
      <c r="C8" s="21">
        <f t="shared" si="0"/>
        <v>1.2222222222222223</v>
      </c>
    </row>
    <row r="9" spans="1:23" ht="16.5" x14ac:dyDescent="0.25">
      <c r="A9" s="23">
        <v>18</v>
      </c>
      <c r="B9" s="23">
        <v>6</v>
      </c>
      <c r="C9" s="21">
        <f t="shared" si="0"/>
        <v>3</v>
      </c>
      <c r="R9" s="5" t="s">
        <v>47</v>
      </c>
      <c r="S9" s="4"/>
      <c r="T9" s="4"/>
      <c r="U9" s="4"/>
      <c r="V9" s="4"/>
      <c r="W9" s="4"/>
    </row>
    <row r="10" spans="1:23" ht="16.5" x14ac:dyDescent="0.25">
      <c r="A10" s="23">
        <v>10</v>
      </c>
      <c r="B10" s="23">
        <v>6</v>
      </c>
      <c r="C10" s="21">
        <f t="shared" si="0"/>
        <v>1.6666666666666667</v>
      </c>
      <c r="R10" s="4"/>
      <c r="S10" s="4"/>
      <c r="T10" s="4"/>
      <c r="U10" s="4"/>
      <c r="V10" s="4"/>
      <c r="W10" s="4"/>
    </row>
    <row r="11" spans="1:23" ht="16.5" x14ac:dyDescent="0.25">
      <c r="A11" s="23">
        <v>15</v>
      </c>
      <c r="B11" s="23">
        <v>5</v>
      </c>
      <c r="C11" s="21">
        <f t="shared" si="0"/>
        <v>3</v>
      </c>
      <c r="R11" s="4"/>
      <c r="S11" s="4"/>
      <c r="T11" s="4"/>
      <c r="U11" s="4"/>
      <c r="V11" s="4"/>
      <c r="W11" s="4"/>
    </row>
    <row r="12" spans="1:23" ht="16.5" x14ac:dyDescent="0.25">
      <c r="A12" s="23">
        <v>18</v>
      </c>
      <c r="B12" s="23">
        <v>6</v>
      </c>
      <c r="C12" s="21">
        <f t="shared" si="0"/>
        <v>3</v>
      </c>
      <c r="R12" s="4"/>
      <c r="S12" s="4"/>
      <c r="T12" s="4"/>
      <c r="U12" s="4"/>
      <c r="V12" s="4"/>
      <c r="W12" s="4"/>
    </row>
    <row r="13" spans="1:23" ht="16.5" x14ac:dyDescent="0.25">
      <c r="A13" s="23">
        <v>6</v>
      </c>
      <c r="B13" s="23">
        <v>9</v>
      </c>
      <c r="C13" s="21">
        <f t="shared" si="0"/>
        <v>0.66666666666666663</v>
      </c>
      <c r="R13" s="4"/>
      <c r="S13" s="4"/>
      <c r="T13" s="4"/>
      <c r="U13" s="4"/>
      <c r="V13" s="4"/>
      <c r="W13" s="4"/>
    </row>
    <row r="14" spans="1:23" ht="16.5" x14ac:dyDescent="0.25">
      <c r="A14" s="23">
        <v>17</v>
      </c>
      <c r="B14" s="23">
        <v>5</v>
      </c>
      <c r="C14" s="21">
        <f t="shared" si="0"/>
        <v>3.4</v>
      </c>
      <c r="R14" s="4"/>
      <c r="S14" s="4"/>
      <c r="T14" s="4"/>
      <c r="U14" s="4"/>
      <c r="V14" s="4"/>
      <c r="W14" s="4"/>
    </row>
    <row r="15" spans="1:23" ht="16.5" x14ac:dyDescent="0.25">
      <c r="A15" s="23">
        <v>5</v>
      </c>
      <c r="B15" s="23">
        <v>5</v>
      </c>
      <c r="C15" s="21">
        <f t="shared" si="0"/>
        <v>1</v>
      </c>
      <c r="R15" s="4"/>
      <c r="S15" s="4"/>
      <c r="T15" s="4"/>
      <c r="U15" s="4"/>
      <c r="V15" s="4"/>
      <c r="W15" s="4"/>
    </row>
  </sheetData>
  <mergeCells count="1">
    <mergeCell ref="R9:W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0EA2-855A-4F0A-8F9E-8AA3E9F6302D}">
  <dimension ref="A1:X15"/>
  <sheetViews>
    <sheetView tabSelected="1" workbookViewId="0">
      <selection activeCell="F1" sqref="F1"/>
    </sheetView>
  </sheetViews>
  <sheetFormatPr defaultRowHeight="15" x14ac:dyDescent="0.25"/>
  <cols>
    <col min="4" max="4" width="15.85546875" customWidth="1"/>
  </cols>
  <sheetData>
    <row r="1" spans="1:24" ht="69" x14ac:dyDescent="0.3">
      <c r="A1" s="24" t="s">
        <v>10</v>
      </c>
      <c r="B1" s="24" t="s">
        <v>48</v>
      </c>
      <c r="C1" s="24" t="s">
        <v>25</v>
      </c>
      <c r="D1" s="24" t="s">
        <v>49</v>
      </c>
    </row>
    <row r="2" spans="1:24" ht="17.25" x14ac:dyDescent="0.3">
      <c r="A2" s="25" t="s">
        <v>50</v>
      </c>
      <c r="B2" s="25">
        <v>45</v>
      </c>
      <c r="C2" s="25">
        <v>92</v>
      </c>
      <c r="D2" s="25" t="str">
        <f>IF(AND(C2&gt;=90,B2&gt;=40),"EXCELLENT",IF(C2&gt;=80,"GOOD","NEEDS IMPROVEMENT"))</f>
        <v>EXCELLENT</v>
      </c>
    </row>
    <row r="3" spans="1:24" ht="17.25" x14ac:dyDescent="0.3">
      <c r="A3" s="26" t="s">
        <v>51</v>
      </c>
      <c r="B3" s="26">
        <v>38</v>
      </c>
      <c r="C3" s="26">
        <v>85</v>
      </c>
      <c r="D3" s="25" t="str">
        <f t="shared" ref="D3:D15" si="0">IF(AND(C3&gt;=90,B3&gt;=40),"EXCELLENT",IF(C3&gt;=80,"GOOD","NEEDS IMPROVEMENT"))</f>
        <v>GOOD</v>
      </c>
    </row>
    <row r="4" spans="1:24" ht="17.25" x14ac:dyDescent="0.3">
      <c r="A4" s="25" t="s">
        <v>52</v>
      </c>
      <c r="B4" s="25">
        <v>50</v>
      </c>
      <c r="C4" s="25">
        <v>95</v>
      </c>
      <c r="D4" s="25" t="str">
        <f t="shared" si="0"/>
        <v>EXCELLENT</v>
      </c>
    </row>
    <row r="5" spans="1:24" ht="17.25" x14ac:dyDescent="0.3">
      <c r="A5" s="26" t="s">
        <v>53</v>
      </c>
      <c r="B5" s="26">
        <v>30</v>
      </c>
      <c r="C5" s="26">
        <v>70</v>
      </c>
      <c r="D5" s="25" t="str">
        <f t="shared" si="0"/>
        <v>NEEDS IMPROVEMENT</v>
      </c>
    </row>
    <row r="6" spans="1:24" ht="17.25" x14ac:dyDescent="0.3">
      <c r="A6" s="25" t="s">
        <v>50</v>
      </c>
      <c r="B6" s="27">
        <v>58</v>
      </c>
      <c r="C6" s="27">
        <v>86</v>
      </c>
      <c r="D6" s="25" t="str">
        <f t="shared" si="0"/>
        <v>GOOD</v>
      </c>
      <c r="T6" s="5" t="s">
        <v>54</v>
      </c>
      <c r="U6" s="4"/>
      <c r="V6" s="4"/>
      <c r="W6" s="4"/>
      <c r="X6" s="4"/>
    </row>
    <row r="7" spans="1:24" ht="17.25" x14ac:dyDescent="0.3">
      <c r="A7" s="26" t="s">
        <v>51</v>
      </c>
      <c r="B7" s="27">
        <v>60</v>
      </c>
      <c r="C7" s="27">
        <v>87</v>
      </c>
      <c r="D7" s="25" t="str">
        <f t="shared" si="0"/>
        <v>GOOD</v>
      </c>
      <c r="T7" s="4"/>
      <c r="U7" s="4"/>
      <c r="V7" s="4"/>
      <c r="W7" s="4"/>
      <c r="X7" s="4"/>
    </row>
    <row r="8" spans="1:24" ht="17.25" x14ac:dyDescent="0.3">
      <c r="A8" s="25" t="s">
        <v>52</v>
      </c>
      <c r="B8" s="27">
        <v>40</v>
      </c>
      <c r="C8" s="27">
        <v>77</v>
      </c>
      <c r="D8" s="25" t="str">
        <f t="shared" si="0"/>
        <v>NEEDS IMPROVEMENT</v>
      </c>
      <c r="T8" s="4"/>
      <c r="U8" s="4"/>
      <c r="V8" s="4"/>
      <c r="W8" s="4"/>
      <c r="X8" s="4"/>
    </row>
    <row r="9" spans="1:24" ht="17.25" x14ac:dyDescent="0.3">
      <c r="A9" s="26" t="s">
        <v>53</v>
      </c>
      <c r="B9" s="27">
        <v>58</v>
      </c>
      <c r="C9" s="27">
        <v>90</v>
      </c>
      <c r="D9" s="25" t="str">
        <f t="shared" si="0"/>
        <v>EXCELLENT</v>
      </c>
      <c r="T9" s="4"/>
      <c r="U9" s="4"/>
      <c r="V9" s="4"/>
      <c r="W9" s="4"/>
      <c r="X9" s="4"/>
    </row>
    <row r="10" spans="1:24" ht="17.25" x14ac:dyDescent="0.3">
      <c r="A10" s="25" t="s">
        <v>50</v>
      </c>
      <c r="B10" s="27">
        <v>67</v>
      </c>
      <c r="C10" s="27">
        <v>67</v>
      </c>
      <c r="D10" s="25" t="str">
        <f t="shared" si="0"/>
        <v>NEEDS IMPROVEMENT</v>
      </c>
      <c r="T10" s="4"/>
      <c r="U10" s="4"/>
      <c r="V10" s="4"/>
      <c r="W10" s="4"/>
      <c r="X10" s="4"/>
    </row>
    <row r="11" spans="1:24" ht="17.25" x14ac:dyDescent="0.3">
      <c r="A11" s="26" t="s">
        <v>51</v>
      </c>
      <c r="B11" s="27">
        <v>30</v>
      </c>
      <c r="C11" s="27">
        <v>93</v>
      </c>
      <c r="D11" s="25" t="str">
        <f t="shared" si="0"/>
        <v>GOOD</v>
      </c>
      <c r="T11" s="4"/>
      <c r="U11" s="4"/>
      <c r="V11" s="4"/>
      <c r="W11" s="4"/>
      <c r="X11" s="4"/>
    </row>
    <row r="12" spans="1:24" ht="17.25" x14ac:dyDescent="0.3">
      <c r="A12" s="25" t="s">
        <v>52</v>
      </c>
      <c r="B12" s="27">
        <v>77</v>
      </c>
      <c r="C12" s="27">
        <v>95</v>
      </c>
      <c r="D12" s="25" t="str">
        <f t="shared" si="0"/>
        <v>EXCELLENT</v>
      </c>
    </row>
    <row r="13" spans="1:24" ht="17.25" x14ac:dyDescent="0.3">
      <c r="A13" s="26" t="s">
        <v>53</v>
      </c>
      <c r="B13" s="27">
        <v>58</v>
      </c>
      <c r="C13" s="27">
        <v>93</v>
      </c>
      <c r="D13" s="25" t="str">
        <f t="shared" si="0"/>
        <v>EXCELLENT</v>
      </c>
    </row>
    <row r="14" spans="1:24" ht="17.25" x14ac:dyDescent="0.3">
      <c r="A14" s="25" t="s">
        <v>50</v>
      </c>
      <c r="B14" s="27">
        <v>68</v>
      </c>
      <c r="C14" s="27">
        <v>63</v>
      </c>
      <c r="D14" s="25" t="str">
        <f t="shared" si="0"/>
        <v>NEEDS IMPROVEMENT</v>
      </c>
    </row>
    <row r="15" spans="1:24" ht="17.25" x14ac:dyDescent="0.3">
      <c r="A15" s="26" t="s">
        <v>51</v>
      </c>
      <c r="B15" s="27">
        <v>47</v>
      </c>
      <c r="C15" s="27">
        <v>71</v>
      </c>
      <c r="D15" s="25" t="str">
        <f t="shared" si="0"/>
        <v>NEEDS IMPROVEMENT</v>
      </c>
    </row>
  </sheetData>
  <mergeCells count="1">
    <mergeCell ref="T6:X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2026-01-25T04:51:49Z</dcterms:created>
  <dcterms:modified xsi:type="dcterms:W3CDTF">2026-01-25T07:03:57Z</dcterms:modified>
</cp:coreProperties>
</file>