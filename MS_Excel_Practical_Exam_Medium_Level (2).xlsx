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DC46\Desktop\"/>
    </mc:Choice>
  </mc:AlternateContent>
  <xr:revisionPtr revIDLastSave="0" documentId="13_ncr:1_{9FBFF1A9-0D68-42A7-B52A-EDE16C039C2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</sheets>
  <definedNames>
    <definedName name="_xlnm._FilterDatabase" localSheetId="1" hidden="1">Sales_Data!$A$1:$K$8</definedName>
  </definedNames>
  <calcPr calcId="191029"/>
  <pivotCaches>
    <pivotCache cacheId="3" r:id="rId6"/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2" l="1" a="1"/>
  <c r="P17" i="2" s="1"/>
  <c r="W3" i="2"/>
  <c r="W4" i="2"/>
  <c r="W5" i="2"/>
  <c r="W6" i="2"/>
  <c r="W7" i="2"/>
  <c r="W2" i="2"/>
  <c r="V3" i="2"/>
  <c r="V4" i="2"/>
  <c r="V5" i="2"/>
  <c r="V6" i="2"/>
  <c r="V7" i="2"/>
  <c r="V2" i="2"/>
  <c r="U3" i="2"/>
  <c r="U4" i="2"/>
  <c r="U5" i="2"/>
  <c r="U6" i="2"/>
  <c r="U7" i="2"/>
  <c r="U2" i="2"/>
  <c r="P3" i="4"/>
  <c r="P4" i="4"/>
  <c r="P5" i="4"/>
  <c r="P6" i="4"/>
  <c r="P2" i="4"/>
  <c r="N3" i="4"/>
  <c r="N4" i="4"/>
  <c r="N5" i="4"/>
  <c r="N6" i="4"/>
  <c r="N2" i="4"/>
  <c r="L3" i="4"/>
  <c r="L4" i="4"/>
  <c r="L5" i="4"/>
  <c r="L6" i="4"/>
  <c r="L2" i="4"/>
  <c r="J3" i="4"/>
  <c r="J4" i="4"/>
  <c r="J5" i="4"/>
  <c r="J6" i="4"/>
  <c r="J2" i="4"/>
  <c r="F9" i="4"/>
  <c r="I3" i="4"/>
  <c r="I4" i="4"/>
  <c r="I5" i="4"/>
  <c r="I6" i="4"/>
  <c r="I2" i="4"/>
  <c r="E3" i="3"/>
  <c r="E4" i="3"/>
  <c r="E5" i="3"/>
  <c r="E6" i="3"/>
  <c r="E7" i="3"/>
  <c r="E8" i="3"/>
  <c r="E2" i="3"/>
  <c r="H7" i="4"/>
  <c r="H3" i="4"/>
  <c r="H4" i="4"/>
  <c r="H5" i="4"/>
  <c r="H6" i="4"/>
  <c r="H2" i="4"/>
  <c r="S3" i="2"/>
  <c r="S4" i="2"/>
  <c r="S5" i="2"/>
  <c r="S6" i="2"/>
  <c r="S7" i="2"/>
  <c r="S2" i="2"/>
  <c r="P3" i="2"/>
  <c r="P4" i="2"/>
  <c r="P5" i="2"/>
  <c r="P6" i="2"/>
  <c r="P7" i="2"/>
  <c r="P2" i="2"/>
  <c r="A8" i="2"/>
  <c r="I2" i="2"/>
  <c r="I3" i="2"/>
  <c r="I4" i="2"/>
  <c r="I5" i="2"/>
  <c r="I6" i="2"/>
  <c r="I7" i="2"/>
  <c r="H3" i="2"/>
  <c r="H4" i="2"/>
  <c r="N4" i="2" s="1"/>
  <c r="H5" i="2"/>
  <c r="N5" i="2" s="1"/>
  <c r="H6" i="2"/>
  <c r="H7" i="2"/>
  <c r="H2" i="2"/>
  <c r="N2" i="2" s="1"/>
  <c r="J32" i="5"/>
  <c r="J3" i="2" l="1"/>
  <c r="J6" i="2"/>
  <c r="J5" i="2"/>
  <c r="K7" i="2" s="1"/>
  <c r="J4" i="2"/>
  <c r="J7" i="2"/>
  <c r="N3" i="2"/>
  <c r="J2" i="2"/>
  <c r="K2" i="2" s="1"/>
  <c r="K5" i="2" l="1"/>
  <c r="K4" i="2"/>
  <c r="K8" i="2" s="1"/>
  <c r="K3" i="2"/>
  <c r="K6" i="2"/>
  <c r="K10" i="2" l="1"/>
  <c r="K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<sst xmlns="http://schemas.openxmlformats.org/spreadsheetml/2006/main" count="147" uniqueCount="103">
  <si>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</si>
  <si>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</si>
  <si>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</si>
  <si>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</si>
  <si>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</si>
  <si>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</si>
  <si>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</si>
  <si>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</si>
  <si>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</si>
  <si>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</si>
  <si>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</si>
  <si>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</si>
  <si>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</si>
  <si>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</si>
  <si>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</si>
  <si>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</si>
  <si>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</si>
  <si>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</si>
  <si>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</si>
  <si>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</si>
  <si>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</si>
  <si>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</si>
  <si>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</si>
  <si>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</si>
  <si>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</si>
  <si>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</si>
  <si>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</si>
  <si>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</si>
  <si>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</si>
  <si>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</si>
  <si>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</si>
  <si>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</si>
  <si>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</si>
  <si>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</si>
  <si>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</si>
  <si>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</si>
  <si>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</si>
  <si>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</si>
  <si>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</si>
  <si>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</si>
  <si>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</si>
  <si>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</si>
  <si>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</si>
  <si>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</si>
  <si>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</si>
  <si>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</si>
  <si>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</si>
  <si>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</si>
  <si>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</si>
  <si>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</si>
  <si>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</si>
  <si>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</si>
  <si>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</si>
  <si>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</si>
  <si>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</si>
  <si>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</si>
  <si>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</si>
  <si>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</si>
  <si>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</si>
  <si>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</si>
  <si>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</si>
  <si>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</si>
  <si>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</si>
  <si>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</si>
  <si>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</si>
  <si>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</si>
  <si>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</si>
  <si>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</si>
  <si>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</si>
  <si>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</si>
  <si>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</si>
  <si>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</si>
  <si>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</si>
  <si>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</si>
  <si>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>GST AMT</t>
  </si>
  <si>
    <t>Final AMT</t>
  </si>
  <si>
    <t>GST %</t>
  </si>
  <si>
    <t>Qauntity</t>
  </si>
  <si>
    <t>MAX AMT</t>
  </si>
  <si>
    <t>MIN AMT</t>
  </si>
  <si>
    <t>Month Name</t>
  </si>
  <si>
    <t xml:space="preserve">Index match </t>
  </si>
  <si>
    <t>laptop</t>
  </si>
  <si>
    <t>Total marks</t>
  </si>
  <si>
    <t>AVG MARKS</t>
  </si>
  <si>
    <t>COUNT attendance</t>
  </si>
  <si>
    <t>ATTENDANCE</t>
  </si>
  <si>
    <t>Row Labels</t>
  </si>
  <si>
    <t>Grand Total</t>
  </si>
  <si>
    <t>Sum of Total Sales</t>
  </si>
  <si>
    <t>Product - Wise Total Sales</t>
  </si>
  <si>
    <t>Region-Wise Total Sales</t>
  </si>
  <si>
    <t>Pivot Chart</t>
  </si>
  <si>
    <t>BAR CHART</t>
  </si>
  <si>
    <t>Median stats marks</t>
  </si>
  <si>
    <t>SD of Excel Marks</t>
  </si>
  <si>
    <t>Concat Use</t>
  </si>
  <si>
    <t>LEFT USE</t>
  </si>
  <si>
    <t>COUNTIFS USE</t>
  </si>
  <si>
    <t>ROUND</t>
  </si>
  <si>
    <t>DUPLICATES</t>
  </si>
  <si>
    <t>NO DUPLICATES</t>
  </si>
  <si>
    <t>FILTER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</si>
</sst>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(2).xlsx]Sales_Data!PivotTable1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Product</a:t>
            </a:r>
            <a:r>
              <a:rPr lang="en-US" b="1" baseline="0">
                <a:solidFill>
                  <a:schemeClr val="tx1"/>
                </a:solidFill>
              </a:rPr>
              <a:t> - Wise Total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Sales_Data!$C$18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Sales_Data!$B$19:$B$22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Sales_Data!$C$19:$C$22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D-4390-9888-2B98783A4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3949535"/>
        <c:axId val="1773950015"/>
        <c:axId val="0"/>
      </c:bar3DChart>
      <c:catAx>
        <c:axId val="177394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50015"/>
        <c:crosses val="autoZero"/>
        <c:auto val="1"/>
        <c:lblAlgn val="ctr"/>
        <c:lblOffset val="100"/>
        <c:noMultiLvlLbl val="0"/>
      </c:catAx>
      <c:valAx>
        <c:axId val="177395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4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Excel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Student_Marks!$E$1</c:f>
              <c:strCache>
                <c:ptCount val="1"/>
                <c:pt idx="0">
                  <c:v>Excel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Student_Marks!$E$2:$E$6</c:f>
              <c:numCache>
                <c:formatCode>0.00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B-49A4-9330-EAC26D26E2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48507007"/>
        <c:axId val="1848510847"/>
        <c:axId val="0"/>
      </c:bar3DChart>
      <c:catAx>
        <c:axId val="184850700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510847"/>
        <c:crosses val="autoZero"/>
        <c:auto val="1"/>
        <c:lblAlgn val="ctr"/>
        <c:lblOffset val="100"/>
        <c:noMultiLvlLbl val="0"/>
      </c:catAx>
      <c:valAx>
        <c:axId val="184851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50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17</xdr:row>
      <xdr:rowOff>9525</xdr:rowOff>
    </xdr:from>
    <xdr:to>
      <xdr:col>12</xdr:col>
      <xdr:colOff>0</xdr:colOff>
      <xdr:row>28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401CB3-2CB9-FF84-F8D0-0BD900850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13</xdr:row>
      <xdr:rowOff>0</xdr:rowOff>
    </xdr:from>
    <xdr:to>
      <xdr:col>5</xdr:col>
      <xdr:colOff>314325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44B60-75B6-DCF4-867C-BFD5D7660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6" refreshedDate="46166.41589502315" createdVersion="8" refreshedVersion="8" minRefreshableVersion="3" recordCount="6" xr:uid="{85C379D5-D2A8-4F63-B1BB-1A40DE2D8B4A}">
  <cacheSource type="worksheet">
    <worksheetSource ref="A1:K7" sheet="Sales_Data"/>
  </cacheSource>
  <cacheFields count="11">
    <cacheField name="Order_ID" numFmtId="0">
      <sharedItems containsSemiMixedTypes="0" containsString="0" containsNumber="1" containsInteger="1" minValue="301" maxValue="306"/>
    </cacheField>
    <cacheField name="Region" numFmtId="0">
      <sharedItems/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  <cacheField name="GST %" numFmtId="0">
      <sharedItems containsSemiMixedTypes="0" containsString="0" containsNumber="1" containsInteger="1" minValue="12" maxValue="18"/>
    </cacheField>
    <cacheField name="GST AMT" numFmtId="0">
      <sharedItems containsSemiMixedTypes="0" containsString="0" containsNumber="1" containsInteger="1" minValue="6480" maxValue="16200"/>
    </cacheField>
    <cacheField name="Final AMT" numFmtId="0">
      <sharedItems containsSemiMixedTypes="0" containsString="0" containsNumber="1" containsInteger="1" minValue="53100" maxValue="10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6" refreshedDate="46166.416677430556" createdVersion="8" refreshedVersion="8" minRefreshableVersion="3" recordCount="4" xr:uid="{1B4B4531-C568-4F40-92AD-D6F2305E68E5}">
  <cacheSource type="worksheet">
    <worksheetSource ref="M1:N5" sheet="Sales_Data"/>
  </cacheSource>
  <cacheFields count="2">
    <cacheField name="Region" numFmtId="0">
      <sharedItems count="4">
        <s v="North"/>
        <s v="South"/>
        <s v="East"/>
        <s v="West"/>
      </sharedItems>
    </cacheField>
    <cacheField name="Total Sales" numFmtId="0">
      <sharedItems containsSemiMixedTypes="0" containsString="0" containsNumber="1" containsInteger="1" minValue="45000" maxValue="16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s v="North"/>
    <s v="Amit"/>
    <x v="0"/>
    <n v="2"/>
    <n v="45000"/>
    <s v="05-01-2025"/>
    <n v="90000"/>
    <n v="18"/>
    <n v="16200"/>
    <n v="106200"/>
  </r>
  <r>
    <n v="302"/>
    <s v="South"/>
    <s v="Riya"/>
    <x v="1"/>
    <n v="5"/>
    <n v="15000"/>
    <s v="07-01-2025"/>
    <n v="75000"/>
    <n v="12"/>
    <n v="9000"/>
    <n v="84000"/>
  </r>
  <r>
    <n v="303"/>
    <s v="East"/>
    <s v="Kunal"/>
    <x v="2"/>
    <n v="3"/>
    <n v="18000"/>
    <s v="10-01-2025"/>
    <n v="54000"/>
    <n v="12"/>
    <n v="6480"/>
    <n v="60480"/>
  </r>
  <r>
    <n v="304"/>
    <s v="West"/>
    <s v="Neha"/>
    <x v="0"/>
    <n v="1"/>
    <n v="45000"/>
    <s v="12-01-2025"/>
    <n v="45000"/>
    <n v="18"/>
    <n v="8100"/>
    <n v="53100"/>
  </r>
  <r>
    <n v="305"/>
    <s v="North"/>
    <s v="Amit"/>
    <x v="1"/>
    <n v="4"/>
    <n v="15000"/>
    <s v="15-01-2025"/>
    <n v="60000"/>
    <n v="12"/>
    <n v="7200"/>
    <n v="67200"/>
  </r>
  <r>
    <n v="306"/>
    <s v="South"/>
    <s v="Riya"/>
    <x v="0"/>
    <n v="2"/>
    <n v="45000"/>
    <s v="18-01-2025"/>
    <n v="90000"/>
    <n v="18"/>
    <n v="16200"/>
    <n v="106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50000"/>
  </r>
  <r>
    <x v="1"/>
    <n v="165000"/>
  </r>
  <r>
    <x v="2"/>
    <n v="54000"/>
  </r>
  <r>
    <x v="3"/>
    <n v="4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E259B-906C-46CC-BD0B-8BEA36EE9EB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8:F23" firstHeaderRow="1" firstDataRow="1" firstDataCol="1"/>
  <pivotFields count="2"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A2A5B-AC8E-4F1F-A379-E7BC89077FA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8:C22" firstHeaderRow="1" firstDataRow="1" firstDataCol="1"/>
  <pivotFields count="1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workbookViewId="0">
      <pane ySplit="1" topLeftCell="A2" activePane="bottomLeft" state="frozen"/>
      <selection pane="bottomLeft" activeCell="P25" sqref="P25"/>
    </sheetView>
  </sheetViews>
  <sheetFormatPr defaultRowHeight="15" x14ac:dyDescent="0.25"/>
  <cols>
    <col min="2" max="2" width="13.140625" bestFit="1" customWidth="1"/>
    <col min="3" max="3" width="17.28515625" bestFit="1" customWidth="1"/>
    <col min="5" max="5" width="13.140625" bestFit="1" customWidth="1"/>
    <col min="6" max="6" width="17.28515625" bestFit="1" customWidth="1"/>
    <col min="7" max="7" width="10.7109375" bestFit="1" customWidth="1"/>
    <col min="8" max="8" width="11" bestFit="1" customWidth="1"/>
    <col min="11" max="11" width="9.85546875" bestFit="1" customWidth="1"/>
    <col min="12" max="12" width="11" customWidth="1"/>
    <col min="14" max="14" width="15" bestFit="1" customWidth="1"/>
    <col min="16" max="16" width="10.42578125" bestFit="1" customWidth="1"/>
    <col min="18" max="18" width="10.7109375" bestFit="1" customWidth="1"/>
    <col min="19" max="19" width="12.7109375" bestFit="1" customWidth="1"/>
    <col min="21" max="21" width="15.85546875" customWidth="1"/>
    <col min="22" max="22" width="14" bestFit="1" customWidth="1"/>
  </cols>
  <sheetData>
    <row r="1" spans="1:23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s="4" t="s">
        <v>73</v>
      </c>
      <c r="I1" s="4" t="s">
        <v>76</v>
      </c>
      <c r="J1" s="4" t="s">
        <v>74</v>
      </c>
      <c r="K1" s="4" t="s">
        <v>75</v>
      </c>
      <c r="L1" s="2"/>
      <c r="M1" s="4" t="s">
        <v>5</v>
      </c>
      <c r="N1" s="4" t="s">
        <v>73</v>
      </c>
      <c r="P1" s="4" t="s">
        <v>77</v>
      </c>
      <c r="R1" s="4" t="s">
        <v>10</v>
      </c>
      <c r="S1" s="4" t="s">
        <v>80</v>
      </c>
      <c r="T1" s="4"/>
      <c r="U1" s="4" t="s">
        <v>97</v>
      </c>
      <c r="V1" s="4" t="s">
        <v>98</v>
      </c>
      <c r="W1" s="4" t="s">
        <v>99</v>
      </c>
    </row>
    <row r="2" spans="1:23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>
        <f t="shared" ref="H2:H7" si="0">E2*F2</f>
        <v>90000</v>
      </c>
      <c r="I2" s="1">
        <f>VLOOKUP(D2,Product_Master!A1:C7,3,0)</f>
        <v>18</v>
      </c>
      <c r="J2">
        <f t="shared" ref="J2:J7" si="1">H2*I2%</f>
        <v>16200</v>
      </c>
      <c r="K2">
        <f t="shared" ref="K2:K7" si="2">SUM(H2,J2)</f>
        <v>106200</v>
      </c>
      <c r="M2" t="s">
        <v>11</v>
      </c>
      <c r="N2">
        <f>SUMIF(B2:B7,M2,H2:H7)</f>
        <v>150000</v>
      </c>
      <c r="P2" t="str">
        <f>IF(E2&gt;3,"High","Low")</f>
        <v>Low</v>
      </c>
      <c r="R2" s="5">
        <v>45662</v>
      </c>
      <c r="S2" t="str">
        <f>TEXT(R2,"mmm")</f>
        <v>Jan</v>
      </c>
      <c r="U2" t="str">
        <f>LEFT(C2,2)</f>
        <v>Am</v>
      </c>
      <c r="V2">
        <f>COUNTIFS(D2:D7,"laptop",B2:B7,"North")</f>
        <v>1</v>
      </c>
      <c r="W2">
        <f>ROUND(F2,-3)</f>
        <v>45000</v>
      </c>
    </row>
    <row r="3" spans="1:23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f t="shared" si="0"/>
        <v>75000</v>
      </c>
      <c r="I3" s="1">
        <f>VLOOKUP(D3,Product_Master!A2:C8,3,0)</f>
        <v>12</v>
      </c>
      <c r="J3">
        <f t="shared" si="1"/>
        <v>9000</v>
      </c>
      <c r="K3">
        <f t="shared" si="2"/>
        <v>84000</v>
      </c>
      <c r="M3" t="s">
        <v>15</v>
      </c>
      <c r="N3">
        <f t="shared" ref="N3:N5" si="3">SUMIF(B3:B8,M3,H3:H8)</f>
        <v>165000</v>
      </c>
      <c r="P3" t="str">
        <f t="shared" ref="P3:P7" si="4">IF(E3&gt;3,"High","Low")</f>
        <v>High</v>
      </c>
      <c r="R3" s="5">
        <v>45664</v>
      </c>
      <c r="S3" t="str">
        <f t="shared" ref="S3:S7" si="5">TEXT(R3,"mmm")</f>
        <v>Jan</v>
      </c>
      <c r="U3" t="str">
        <f t="shared" ref="U3:U7" si="6">LEFT(C3,2)</f>
        <v>Ri</v>
      </c>
      <c r="V3">
        <f t="shared" ref="V3:V7" si="7">COUNTIFS(D3:D8,"laptop",B3:B8,"North")</f>
        <v>0</v>
      </c>
      <c r="W3">
        <f t="shared" ref="W3:W7" si="8">ROUND(F3,-3)</f>
        <v>15000</v>
      </c>
    </row>
    <row r="4" spans="1:23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f t="shared" si="0"/>
        <v>54000</v>
      </c>
      <c r="I4" s="1">
        <f>VLOOKUP(D4,Product_Master!A3:C9,3,0)</f>
        <v>12</v>
      </c>
      <c r="J4">
        <f t="shared" si="1"/>
        <v>6480</v>
      </c>
      <c r="K4">
        <f t="shared" si="2"/>
        <v>60480</v>
      </c>
      <c r="M4" t="s">
        <v>19</v>
      </c>
      <c r="N4">
        <f t="shared" si="3"/>
        <v>54000</v>
      </c>
      <c r="P4" t="str">
        <f t="shared" si="4"/>
        <v>Low</v>
      </c>
      <c r="R4" s="5">
        <v>45667</v>
      </c>
      <c r="S4" t="str">
        <f t="shared" si="5"/>
        <v>Jan</v>
      </c>
      <c r="U4" t="str">
        <f t="shared" si="6"/>
        <v>Ku</v>
      </c>
      <c r="V4">
        <f t="shared" si="7"/>
        <v>0</v>
      </c>
      <c r="W4">
        <f t="shared" si="8"/>
        <v>18000</v>
      </c>
    </row>
    <row r="5" spans="1:23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f t="shared" si="0"/>
        <v>45000</v>
      </c>
      <c r="I5" s="1">
        <f>VLOOKUP(D5,Product_Master!A4:C10,3,0)</f>
        <v>18</v>
      </c>
      <c r="J5">
        <f t="shared" si="1"/>
        <v>8100</v>
      </c>
      <c r="K5">
        <f t="shared" si="2"/>
        <v>53100</v>
      </c>
      <c r="M5" t="s">
        <v>23</v>
      </c>
      <c r="N5">
        <f t="shared" si="3"/>
        <v>45000</v>
      </c>
      <c r="P5" t="str">
        <f t="shared" si="4"/>
        <v>Low</v>
      </c>
      <c r="R5" s="5">
        <v>45669</v>
      </c>
      <c r="S5" t="str">
        <f t="shared" si="5"/>
        <v>Jan</v>
      </c>
      <c r="U5" t="str">
        <f t="shared" si="6"/>
        <v>Ne</v>
      </c>
      <c r="V5">
        <f t="shared" si="7"/>
        <v>0</v>
      </c>
      <c r="W5">
        <f t="shared" si="8"/>
        <v>45000</v>
      </c>
    </row>
    <row r="6" spans="1:23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f t="shared" si="0"/>
        <v>60000</v>
      </c>
      <c r="I6" s="1">
        <f>VLOOKUP(D6,Product_Master!A5:C11,3,0)</f>
        <v>12</v>
      </c>
      <c r="J6">
        <f t="shared" si="1"/>
        <v>7200</v>
      </c>
      <c r="K6">
        <f t="shared" si="2"/>
        <v>67200</v>
      </c>
      <c r="P6" t="str">
        <f t="shared" si="4"/>
        <v>High</v>
      </c>
      <c r="R6" s="5">
        <v>45672</v>
      </c>
      <c r="S6" t="str">
        <f t="shared" si="5"/>
        <v>Jan</v>
      </c>
      <c r="U6" t="str">
        <f t="shared" si="6"/>
        <v>Am</v>
      </c>
      <c r="V6">
        <f t="shared" si="7"/>
        <v>0</v>
      </c>
      <c r="W6">
        <f t="shared" si="8"/>
        <v>15000</v>
      </c>
    </row>
    <row r="7" spans="1:23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f t="shared" si="0"/>
        <v>90000</v>
      </c>
      <c r="I7" s="1">
        <f>VLOOKUP(D7,Product_Master!A6:C12,3,0)</f>
        <v>18</v>
      </c>
      <c r="J7">
        <f t="shared" si="1"/>
        <v>16200</v>
      </c>
      <c r="K7">
        <f t="shared" si="2"/>
        <v>106200</v>
      </c>
      <c r="P7" t="str">
        <f t="shared" si="4"/>
        <v>Low</v>
      </c>
      <c r="R7" s="5">
        <v>45675</v>
      </c>
      <c r="S7" t="str">
        <f t="shared" si="5"/>
        <v>Jan</v>
      </c>
      <c r="U7" t="str">
        <f t="shared" si="6"/>
        <v>Ri</v>
      </c>
      <c r="V7">
        <f t="shared" si="7"/>
        <v>0</v>
      </c>
      <c r="W7">
        <f t="shared" si="8"/>
        <v>45000</v>
      </c>
    </row>
    <row r="8" spans="1:23" x14ac:dyDescent="0.25">
      <c r="A8" s="3">
        <f>COUNTA(A2:A7)</f>
        <v>6</v>
      </c>
      <c r="K8" s="3">
        <f>SUM(K2:K7)</f>
        <v>477180</v>
      </c>
    </row>
    <row r="10" spans="1:23" x14ac:dyDescent="0.25">
      <c r="J10" s="4" t="s">
        <v>78</v>
      </c>
      <c r="K10">
        <f>MAX(K2:K7)</f>
        <v>106200</v>
      </c>
    </row>
    <row r="11" spans="1:23" x14ac:dyDescent="0.25">
      <c r="J11" s="4" t="s">
        <v>79</v>
      </c>
      <c r="K11">
        <f>MIN(K2:K7)</f>
        <v>53100</v>
      </c>
    </row>
    <row r="16" spans="1:23" x14ac:dyDescent="0.25">
      <c r="B16" s="10" t="s">
        <v>90</v>
      </c>
      <c r="C16" s="9"/>
      <c r="E16" s="10" t="s">
        <v>91</v>
      </c>
      <c r="F16" s="9"/>
      <c r="H16" s="11" t="s">
        <v>92</v>
      </c>
      <c r="I16" s="9"/>
      <c r="J16" s="9"/>
      <c r="K16" s="9"/>
      <c r="L16" s="9"/>
      <c r="N16" s="4" t="s">
        <v>100</v>
      </c>
      <c r="P16" s="4" t="s">
        <v>102</v>
      </c>
    </row>
    <row r="17" spans="2:16" x14ac:dyDescent="0.25">
      <c r="B17" s="9"/>
      <c r="C17" s="9"/>
      <c r="E17" s="9"/>
      <c r="F17" s="9"/>
      <c r="H17" s="9"/>
      <c r="I17" s="9"/>
      <c r="J17" s="9"/>
      <c r="K17" s="9"/>
      <c r="L17" s="9"/>
      <c r="N17" t="s">
        <v>101</v>
      </c>
      <c r="P17" cm="1">
        <f t="array" ref="P17:P18">_xlfn._xlws.FILTER(A2:A7,(D2:D7="Laptop")*(E2:E7&gt;1))</f>
        <v>301</v>
      </c>
    </row>
    <row r="18" spans="2:16" x14ac:dyDescent="0.25">
      <c r="B18" s="6" t="s">
        <v>87</v>
      </c>
      <c r="C18" t="s">
        <v>89</v>
      </c>
      <c r="E18" s="6" t="s">
        <v>87</v>
      </c>
      <c r="F18" t="s">
        <v>89</v>
      </c>
      <c r="P18">
        <v>306</v>
      </c>
    </row>
    <row r="19" spans="2:16" x14ac:dyDescent="0.25">
      <c r="B19" s="7" t="s">
        <v>13</v>
      </c>
      <c r="C19" s="8">
        <v>225000</v>
      </c>
      <c r="E19" s="7" t="s">
        <v>19</v>
      </c>
      <c r="F19" s="8">
        <v>54000</v>
      </c>
    </row>
    <row r="20" spans="2:16" x14ac:dyDescent="0.25">
      <c r="B20" s="7" t="s">
        <v>17</v>
      </c>
      <c r="C20" s="8">
        <v>135000</v>
      </c>
      <c r="E20" s="7" t="s">
        <v>11</v>
      </c>
      <c r="F20" s="8">
        <v>150000</v>
      </c>
    </row>
    <row r="21" spans="2:16" x14ac:dyDescent="0.25">
      <c r="B21" s="7" t="s">
        <v>21</v>
      </c>
      <c r="C21" s="8">
        <v>54000</v>
      </c>
      <c r="E21" s="7" t="s">
        <v>15</v>
      </c>
      <c r="F21" s="8">
        <v>165000</v>
      </c>
    </row>
    <row r="22" spans="2:16" x14ac:dyDescent="0.25">
      <c r="B22" s="7" t="s">
        <v>88</v>
      </c>
      <c r="C22" s="8">
        <v>414000</v>
      </c>
      <c r="E22" s="7" t="s">
        <v>23</v>
      </c>
      <c r="F22" s="8">
        <v>45000</v>
      </c>
    </row>
    <row r="23" spans="2:16" x14ac:dyDescent="0.25">
      <c r="E23" s="7" t="s">
        <v>88</v>
      </c>
      <c r="F23" s="8">
        <v>414000</v>
      </c>
    </row>
  </sheetData>
  <sortState xmlns:xlrd2="http://schemas.microsoft.com/office/spreadsheetml/2017/richdata2" ref="K2:K7">
    <sortCondition descending="1" ref="K2:K7"/>
  </sortState>
  <mergeCells count="3">
    <mergeCell ref="B16:C17"/>
    <mergeCell ref="E16:F17"/>
    <mergeCell ref="H16:L17"/>
  </mergeCells>
  <conditionalFormatting sqref="K2:K7">
    <cfRule type="cellIs" dxfId="0" priority="1" operator="greaterThan">
      <formula>60000</formula>
    </cfRule>
  </conditionalFormatting>
  <pageMargins left="0.75" right="0.75" top="1" bottom="1" header="0.5" footer="0.5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H15" sqref="H15"/>
    </sheetView>
  </sheetViews>
  <sheetFormatPr defaultRowHeight="15" x14ac:dyDescent="0.25"/>
  <cols>
    <col min="5" max="5" width="11.42578125" customWidth="1"/>
  </cols>
  <sheetData>
    <row r="1" spans="1:5" x14ac:dyDescent="0.25">
      <c r="A1" t="s">
        <v>7</v>
      </c>
      <c r="B1" t="s">
        <v>28</v>
      </c>
      <c r="C1" t="s">
        <v>29</v>
      </c>
      <c r="E1" s="4" t="s">
        <v>81</v>
      </c>
    </row>
    <row r="2" spans="1:5" x14ac:dyDescent="0.25">
      <c r="A2" t="s">
        <v>13</v>
      </c>
      <c r="B2" t="s">
        <v>30</v>
      </c>
      <c r="C2">
        <v>18</v>
      </c>
      <c r="D2" t="s">
        <v>82</v>
      </c>
      <c r="E2" t="str">
        <f>INDEX($B2:$B8,MATCH($D2,$A2:$A8,0))</f>
        <v>Electronics</v>
      </c>
    </row>
    <row r="3" spans="1:5" x14ac:dyDescent="0.25">
      <c r="A3" t="s">
        <v>17</v>
      </c>
      <c r="B3" t="s">
        <v>30</v>
      </c>
      <c r="C3">
        <v>12</v>
      </c>
      <c r="D3" t="s">
        <v>17</v>
      </c>
      <c r="E3" t="str">
        <f t="shared" ref="E3:E8" si="0">INDEX($B3:$B9,MATCH($D3,$A3:$A9,0))</f>
        <v>Electronics</v>
      </c>
    </row>
    <row r="4" spans="1:5" x14ac:dyDescent="0.25">
      <c r="A4" t="s">
        <v>21</v>
      </c>
      <c r="B4" t="s">
        <v>30</v>
      </c>
      <c r="C4">
        <v>12</v>
      </c>
      <c r="D4" t="s">
        <v>21</v>
      </c>
      <c r="E4" t="str">
        <f t="shared" si="0"/>
        <v>Electronics</v>
      </c>
    </row>
    <row r="5" spans="1:5" x14ac:dyDescent="0.25">
      <c r="A5" t="s">
        <v>13</v>
      </c>
      <c r="B5" t="s">
        <v>30</v>
      </c>
      <c r="C5">
        <v>18</v>
      </c>
      <c r="D5" t="s">
        <v>13</v>
      </c>
      <c r="E5" t="str">
        <f t="shared" si="0"/>
        <v>Electronics</v>
      </c>
    </row>
    <row r="6" spans="1:5" x14ac:dyDescent="0.25">
      <c r="A6" t="s">
        <v>17</v>
      </c>
      <c r="B6" t="s">
        <v>30</v>
      </c>
      <c r="C6">
        <v>12</v>
      </c>
      <c r="D6" t="s">
        <v>17</v>
      </c>
      <c r="E6" t="str">
        <f t="shared" si="0"/>
        <v>Electronics</v>
      </c>
    </row>
    <row r="7" spans="1:5" x14ac:dyDescent="0.25">
      <c r="A7" t="s">
        <v>21</v>
      </c>
      <c r="B7" t="s">
        <v>30</v>
      </c>
      <c r="C7">
        <v>12</v>
      </c>
      <c r="D7" t="s">
        <v>21</v>
      </c>
      <c r="E7" t="str">
        <f t="shared" si="0"/>
        <v>Electronics</v>
      </c>
    </row>
    <row r="8" spans="1:5" x14ac:dyDescent="0.25">
      <c r="A8" t="s">
        <v>13</v>
      </c>
      <c r="B8" t="s">
        <v>30</v>
      </c>
      <c r="C8">
        <v>18</v>
      </c>
      <c r="D8" t="s">
        <v>13</v>
      </c>
      <c r="E8" t="str">
        <f t="shared" si="0"/>
        <v>Electronics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workbookViewId="0">
      <selection activeCell="I22" sqref="I22"/>
    </sheetView>
  </sheetViews>
  <sheetFormatPr defaultRowHeight="15" x14ac:dyDescent="0.25"/>
  <cols>
    <col min="5" max="5" width="18" bestFit="1" customWidth="1"/>
    <col min="7" max="7" width="12" customWidth="1"/>
    <col min="8" max="8" width="11.140625" bestFit="1" customWidth="1"/>
    <col min="9" max="9" width="13.42578125" bestFit="1" customWidth="1"/>
    <col min="10" max="10" width="12.85546875" bestFit="1" customWidth="1"/>
    <col min="12" max="12" width="18" customWidth="1"/>
    <col min="14" max="14" width="16.5703125" bestFit="1" customWidth="1"/>
    <col min="16" max="16" width="10.7109375" bestFit="1" customWidth="1"/>
  </cols>
  <sheetData>
    <row r="1" spans="1:1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H1" s="4" t="s">
        <v>83</v>
      </c>
      <c r="J1" s="4" t="s">
        <v>86</v>
      </c>
      <c r="L1" s="4" t="s">
        <v>94</v>
      </c>
      <c r="N1" s="4" t="s">
        <v>95</v>
      </c>
      <c r="P1" s="4" t="s">
        <v>96</v>
      </c>
    </row>
    <row r="2" spans="1:16" x14ac:dyDescent="0.25">
      <c r="A2">
        <v>1</v>
      </c>
      <c r="B2" t="s">
        <v>37</v>
      </c>
      <c r="C2">
        <v>78</v>
      </c>
      <c r="D2">
        <v>82</v>
      </c>
      <c r="E2" s="13">
        <v>85</v>
      </c>
      <c r="F2">
        <v>92</v>
      </c>
      <c r="H2">
        <f>SUM(C2:E2)</f>
        <v>245</v>
      </c>
      <c r="I2" t="str">
        <f>IF(H2&gt;=$H$7,"Topper","Below Topper")</f>
        <v>Topper</v>
      </c>
      <c r="J2" t="str">
        <f>IF(F2&gt;=85,"Eligible","Not Eligible")</f>
        <v>Eligible</v>
      </c>
      <c r="L2">
        <f>MEDIAN(D2:D6)</f>
        <v>82</v>
      </c>
      <c r="N2">
        <f>_xlfn.STDEV.S($E$2:$E$6)</f>
        <v>14.737706741552426</v>
      </c>
      <c r="P2" t="str">
        <f>_xlfn.CONCAT(A2,B2)</f>
        <v>1Rahul</v>
      </c>
    </row>
    <row r="3" spans="1:16" x14ac:dyDescent="0.25">
      <c r="A3">
        <v>2</v>
      </c>
      <c r="B3" t="s">
        <v>38</v>
      </c>
      <c r="C3">
        <v>88</v>
      </c>
      <c r="D3">
        <v>91</v>
      </c>
      <c r="E3" s="13">
        <v>90</v>
      </c>
      <c r="F3">
        <v>96</v>
      </c>
      <c r="H3">
        <f t="shared" ref="H3:H6" si="0">SUM(C3:E3)</f>
        <v>269</v>
      </c>
      <c r="I3" t="str">
        <f t="shared" ref="I3:I6" si="1">IF(H3&gt;=$H$7,"Topper","Below Topper")</f>
        <v>Topper</v>
      </c>
      <c r="J3" t="str">
        <f t="shared" ref="J3:J6" si="2">IF(F3&gt;=85,"Eligible","Not Eligible")</f>
        <v>Eligible</v>
      </c>
      <c r="L3">
        <f t="shared" ref="L3:L6" si="3">MEDIAN(D3:D7)</f>
        <v>79.5</v>
      </c>
      <c r="N3">
        <f t="shared" ref="N3:N6" si="4">_xlfn.STDEV.S($E$2:$E$6)</f>
        <v>14.737706741552426</v>
      </c>
      <c r="P3" t="str">
        <f t="shared" ref="P3:P6" si="5">_xlfn.CONCAT(A3,B3)</f>
        <v>2Sneha</v>
      </c>
    </row>
    <row r="4" spans="1:16" x14ac:dyDescent="0.25">
      <c r="A4">
        <v>3</v>
      </c>
      <c r="B4" t="s">
        <v>39</v>
      </c>
      <c r="C4">
        <v>65</v>
      </c>
      <c r="D4">
        <v>70</v>
      </c>
      <c r="E4" s="13">
        <v>72</v>
      </c>
      <c r="F4">
        <v>85</v>
      </c>
      <c r="H4">
        <f t="shared" si="0"/>
        <v>207</v>
      </c>
      <c r="I4" t="str">
        <f t="shared" si="1"/>
        <v>Below Topper</v>
      </c>
      <c r="J4" t="str">
        <f t="shared" si="2"/>
        <v>Eligible</v>
      </c>
      <c r="L4">
        <f t="shared" si="3"/>
        <v>70</v>
      </c>
      <c r="N4">
        <f t="shared" si="4"/>
        <v>14.737706741552426</v>
      </c>
      <c r="P4" t="str">
        <f t="shared" si="5"/>
        <v>3Arjun</v>
      </c>
    </row>
    <row r="5" spans="1:16" x14ac:dyDescent="0.25">
      <c r="A5">
        <v>4</v>
      </c>
      <c r="B5" t="s">
        <v>40</v>
      </c>
      <c r="C5">
        <v>92</v>
      </c>
      <c r="D5">
        <v>89</v>
      </c>
      <c r="E5" s="13">
        <v>94</v>
      </c>
      <c r="F5">
        <v>98</v>
      </c>
      <c r="H5">
        <f t="shared" si="0"/>
        <v>275</v>
      </c>
      <c r="I5" t="str">
        <f t="shared" si="1"/>
        <v>Topper</v>
      </c>
      <c r="J5" t="str">
        <f t="shared" si="2"/>
        <v>Eligible</v>
      </c>
      <c r="L5">
        <f t="shared" si="3"/>
        <v>74.5</v>
      </c>
      <c r="N5">
        <f t="shared" si="4"/>
        <v>14.737706741552426</v>
      </c>
      <c r="P5" t="str">
        <f t="shared" si="5"/>
        <v>4Pooja</v>
      </c>
    </row>
    <row r="6" spans="1:16" x14ac:dyDescent="0.25">
      <c r="A6">
        <v>5</v>
      </c>
      <c r="B6" t="s">
        <v>41</v>
      </c>
      <c r="C6">
        <v>55</v>
      </c>
      <c r="D6">
        <v>60</v>
      </c>
      <c r="E6" s="13">
        <v>58</v>
      </c>
      <c r="F6">
        <v>80</v>
      </c>
      <c r="H6">
        <f t="shared" si="0"/>
        <v>173</v>
      </c>
      <c r="I6" t="str">
        <f t="shared" si="1"/>
        <v>Below Topper</v>
      </c>
      <c r="J6" t="str">
        <f t="shared" si="2"/>
        <v>Not Eligible</v>
      </c>
      <c r="L6">
        <f t="shared" si="3"/>
        <v>60</v>
      </c>
      <c r="N6">
        <f t="shared" si="4"/>
        <v>14.737706741552426</v>
      </c>
      <c r="P6" t="str">
        <f t="shared" si="5"/>
        <v>5Vikas</v>
      </c>
    </row>
    <row r="7" spans="1:16" x14ac:dyDescent="0.25">
      <c r="G7" s="3" t="s">
        <v>84</v>
      </c>
      <c r="H7" s="3">
        <f>AVERAGE(H2:H6)</f>
        <v>233.8</v>
      </c>
    </row>
    <row r="9" spans="1:16" x14ac:dyDescent="0.25">
      <c r="E9" s="4" t="s">
        <v>85</v>
      </c>
      <c r="F9" s="3">
        <f>COUNTIF(F2:F6,"&gt;90")</f>
        <v>3</v>
      </c>
    </row>
    <row r="12" spans="1:16" x14ac:dyDescent="0.25">
      <c r="B12" s="12" t="s">
        <v>93</v>
      </c>
      <c r="C12" s="9"/>
      <c r="D12" s="9"/>
      <c r="E12" s="9"/>
    </row>
    <row r="13" spans="1:16" x14ac:dyDescent="0.25">
      <c r="B13" s="9"/>
      <c r="C13" s="9"/>
      <c r="D13" s="9"/>
      <c r="E13" s="9"/>
    </row>
  </sheetData>
  <sheetProtection sheet="1" objects="1" scenarios="1"/>
  <mergeCells count="1">
    <mergeCell ref="B12:E1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abSelected="1" workbookViewId="0">
      <selection activeCell="E33" sqref="E33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Sales_Data</vt:lpstr>
      <vt:lpstr>Product_Master</vt:lpstr>
      <vt:lpstr>Student_Marks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ASDC46</cp:lastModifiedBy>
  <dcterms:created xsi:type="dcterms:W3CDTF">2025-12-20T09:26:06Z</dcterms:created>
  <dcterms:modified xsi:type="dcterms:W3CDTF">2026-05-24T05:19:21Z</dcterms:modified>
</cp:coreProperties>
</file>