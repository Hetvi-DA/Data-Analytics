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4b4fee7e3d8e21/Desktop/Hetvi Github/Data-Analytics/"/>
    </mc:Choice>
  </mc:AlternateContent>
  <xr:revisionPtr revIDLastSave="0" documentId="14_{377B7748-BE04-4BDF-A006-3B714C9CE8A8}" xr6:coauthVersionLast="47" xr6:coauthVersionMax="47" xr10:uidLastSave="{00000000-0000-0000-0000-000000000000}"/>
  <bookViews>
    <workbookView xWindow="-120" yWindow="-120" windowWidth="29040" windowHeight="15720" activeTab="9" xr2:uid="{572782F3-CCEA-40BC-B755-63A7C3B28BC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definedNames>
    <definedName name="_xlnm._FilterDatabase" localSheetId="3" hidden="1">Sheet4!$A$1:$C$20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3" i="7" l="1"/>
  <c r="B22" i="7"/>
  <c r="C23" i="6"/>
  <c r="C22" i="6"/>
  <c r="C21" i="5"/>
  <c r="D15" i="5"/>
  <c r="D8" i="5"/>
  <c r="D2" i="5"/>
  <c r="A21" i="5"/>
  <c r="C24" i="4"/>
  <c r="C23" i="4"/>
  <c r="C22" i="4"/>
  <c r="C21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" i="3"/>
  <c r="F3" i="3"/>
  <c r="F4" i="3"/>
  <c r="F5" i="3"/>
  <c r="F6" i="3"/>
  <c r="F2" i="3"/>
  <c r="E17" i="1"/>
  <c r="E18" i="1"/>
  <c r="E19" i="1"/>
  <c r="E20" i="1"/>
  <c r="E16" i="1"/>
  <c r="E15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7" i="1"/>
  <c r="F19" i="3" l="1"/>
  <c r="F18" i="3"/>
  <c r="F17" i="3"/>
  <c r="F16" i="3"/>
  <c r="F15" i="3"/>
  <c r="F14" i="3"/>
  <c r="F13" i="3"/>
  <c r="F12" i="3"/>
  <c r="F20" i="3"/>
  <c r="F7" i="3"/>
  <c r="F11" i="3"/>
  <c r="F10" i="3"/>
  <c r="F9" i="3"/>
  <c r="F8" i="3"/>
</calcChain>
</file>

<file path=xl/sharedStrings.xml><?xml version="1.0" encoding="utf-8"?>
<sst xmlns="http://schemas.openxmlformats.org/spreadsheetml/2006/main" count="436" uniqueCount="168">
  <si>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</si>
  <si>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</si>
  <si>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</si>
  <si>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</si>
  <si>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</si>
  <si>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</si>
  <si>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</si>
  <si>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</si>
  <si>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</si>
  <si>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</si>
  <si>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</si>
  <si>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</si>
  <si>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</si>
  <si>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</si>
  <si>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</si>
  <si>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</si>
  <si>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</si>
  <si>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</si>
  <si>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</si>
  <si>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</si>
  <si>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</si>
  <si>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</si>
  <si>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</si>
  <si>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</si>
  <si>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</si>
  <si>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</si>
  <si>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</si>
  <si>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</si>
  <si>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</si>
  <si>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</si>
  <si>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</si>
  <si>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</si>
  <si>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Hetvi Joshi</t>
  </si>
  <si>
    <t>Jiya Patel</t>
  </si>
  <si>
    <t>Sanjay Sirsikar</t>
  </si>
  <si>
    <t>Jyotin patel</t>
  </si>
  <si>
    <t>Jay Tripathi</t>
  </si>
  <si>
    <t>Pavan Shah</t>
  </si>
  <si>
    <t>Smit Thaker</t>
  </si>
  <si>
    <t>Vraj Pandya</t>
  </si>
  <si>
    <t>Raj Jain</t>
  </si>
  <si>
    <t>Het Shah</t>
  </si>
  <si>
    <t>Khushi Patel</t>
  </si>
  <si>
    <t>Meghna Jhaveri</t>
  </si>
  <si>
    <t>Dev Kavi</t>
  </si>
  <si>
    <t>Krisha Shah</t>
  </si>
  <si>
    <t>A</t>
  </si>
  <si>
    <t>FINANCE</t>
  </si>
  <si>
    <t>Task
Format header row (Bold, Color)
Salary → Currency (₹)
Date → Date format
Apply borders and auto-fit column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</si>
  <si>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</si>
  <si>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</si>
  <si>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</si>
  <si>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</si>
  <si>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</si>
  <si>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</si>
  <si>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</si>
  <si>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</si>
  <si>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</si>
  <si>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</si>
  <si>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</si>
  <si>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</si>
  <si>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</si>
  <si>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</si>
  <si>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</si>
  <si>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</si>
  <si>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</si>
  <si>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</si>
  <si>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</si>
  <si>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</si>
  <si>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>Add title Monthly Sales Report
Merge &amp; center title
Wrap text for product names
Currency format for sales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</si>
  <si>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</si>
  <si>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</si>
  <si>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</si>
  <si>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</si>
  <si>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</si>
  <si>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</si>
  <si>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</si>
  <si>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</si>
  <si>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</si>
  <si>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</si>
  <si>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</si>
  <si>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</si>
  <si>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TOTAL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</si>
  <si>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</si>
  <si>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</si>
  <si>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</si>
  <si>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</si>
  <si>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</si>
  <si>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</si>
  <si>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</si>
  <si>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</si>
  <si>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</si>
  <si>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</si>
  <si>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</si>
  <si>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</si>
  <si>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</si>
  <si>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</si>
  <si>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</si>
  <si>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</si>
  <si>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</si>
  <si>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</si>
  <si>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</si>
  <si>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</si>
  <si>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</si>
  <si>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Calculate Total Sales
Find Average Sales
Identify Highest &amp; Lowest Sale</t>
  </si>
  <si>
    <t>AVERAGE</t>
  </si>
  <si>
    <t>LOWEST</t>
  </si>
  <si>
    <t>HIGHEST</t>
  </si>
  <si>
    <t>Employee Name</t>
  </si>
  <si>
    <t>Suresh</t>
  </si>
  <si>
    <t>Meena</t>
  </si>
  <si>
    <t>Karan</t>
  </si>
  <si>
    <t>Ritu</t>
  </si>
  <si>
    <t>Aman</t>
  </si>
  <si>
    <t>Neel</t>
  </si>
  <si>
    <t>Total salary per department
Average salary
Count employees</t>
  </si>
  <si>
    <t>AVG</t>
  </si>
  <si>
    <t>Day 1</t>
  </si>
  <si>
    <t>Day 2</t>
  </si>
  <si>
    <t>Day 3</t>
  </si>
  <si>
    <t>Day 4</t>
  </si>
  <si>
    <t>Day 5</t>
  </si>
  <si>
    <t>P</t>
  </si>
  <si>
    <t>Count Present days
Count Absent days</t>
  </si>
  <si>
    <t>ABSENT DAYS</t>
  </si>
  <si>
    <t>PRESENT DAYS</t>
  </si>
  <si>
    <t>Order ID</t>
  </si>
  <si>
    <t>O101</t>
  </si>
  <si>
    <t>O102</t>
  </si>
  <si>
    <t>O103</t>
  </si>
  <si>
    <t>O104</t>
  </si>
  <si>
    <t>O105</t>
  </si>
  <si>
    <t>O106</t>
  </si>
  <si>
    <t>Count sales above 10000
Count sales below 5000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</si>
  <si>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</si>
  <si>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</si>
  <si>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</si>
  <si>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</si>
  <si>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</si>
  <si>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</si>
  <si>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</si>
  <si>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</si>
  <si>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</si>
  <si>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</si>
  <si>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</si>
  <si>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</si>
  <si>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</si>
  <si>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ABOVE 10000</t>
  </si>
  <si>
    <t>BELOW 5000</t>
  </si>
  <si>
    <t>Product</t>
  </si>
  <si>
    <t>Mobile</t>
  </si>
  <si>
    <t>Headphones</t>
  </si>
  <si>
    <t>Laptop</t>
  </si>
  <si>
    <t>Keyboard</t>
  </si>
  <si>
    <t>Tablet</t>
  </si>
  <si>
    <t>Highlight sales &gt; 20000 (Green)
Highlight sales &lt; 5000 (Red)</t>
  </si>
  <si>
    <t>Marks</t>
  </si>
  <si>
    <t>Bharti</t>
  </si>
  <si>
    <t>Chetan</t>
  </si>
  <si>
    <t>Deepa</t>
  </si>
  <si>
    <t>Farhan</t>
  </si>
  <si>
    <t>Marks ≥ 75 → Green
Marks &lt; 40 → Red</t>
  </si>
  <si>
    <t>Rohit</t>
  </si>
  <si>
    <t>Simran</t>
  </si>
  <si>
    <t>Vijay</t>
  </si>
  <si>
    <t>Nisha</t>
  </si>
  <si>
    <t>Mohan</t>
  </si>
  <si>
    <t>≥ 50000 → Dark Green
30000–49999 → Yellow
&lt; 30000 → Light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</si>
</sst>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-F800]dddd\,\ mmmm\ dd\,\ 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b/>
      <sz val="12"/>
      <color rgb="FF1F2328"/>
      <name val="Segoe UI"/>
      <family val="2"/>
    </font>
    <font>
      <sz val="8"/>
      <name val="Calibri"/>
      <family val="2"/>
      <scheme val="minor"/>
    </font>
    <font>
      <sz val="10"/>
      <color rgb="FF1F2328"/>
      <name val="Segoe U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Arial Black"/>
      <family val="2"/>
    </font>
    <font>
      <sz val="12"/>
      <color rgb="FFFF0000"/>
      <name val="Segoe UI"/>
      <family val="2"/>
    </font>
    <font>
      <b/>
      <u/>
      <sz val="10"/>
      <color rgb="FFFF0000"/>
      <name val="Arial Black"/>
      <family val="2"/>
    </font>
    <font>
      <b/>
      <sz val="11"/>
      <color rgb="FFFF0000"/>
      <name val="Calibri"/>
      <family val="2"/>
      <scheme val="minor"/>
    </font>
    <font>
      <b/>
      <sz val="10"/>
      <color rgb="FF1F2328"/>
      <name val="Segoe UI"/>
      <family val="2"/>
    </font>
    <font>
      <sz val="11"/>
      <color rgb="FF1F2328"/>
      <name val="Segoe UI"/>
      <family val="2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0"/>
      <color rgb="FF1F2328"/>
      <name val="Segoe UI"/>
      <family val="2"/>
    </font>
    <font>
      <sz val="11"/>
      <color rgb="FF1F2328"/>
      <name val="Segoe UI"/>
      <family val="2"/>
    </font>
    <font>
      <b/>
      <sz val="11"/>
      <color rgb="FF1F232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1D9E0"/>
      </bottom>
      <diagonal/>
    </border>
    <border>
      <left style="medium">
        <color indexed="64"/>
      </left>
      <right style="medium">
        <color rgb="FFD1D9E0"/>
      </right>
      <top style="medium">
        <color indexed="64"/>
      </top>
      <bottom/>
      <diagonal/>
    </border>
    <border>
      <left style="medium">
        <color rgb="FFD1D9E0"/>
      </left>
      <right style="medium">
        <color rgb="FFD1D9E0"/>
      </right>
      <top style="medium">
        <color indexed="64"/>
      </top>
      <bottom/>
      <diagonal/>
    </border>
    <border>
      <left style="medium">
        <color rgb="FFD1D9E0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D1D9E0"/>
      </left>
      <right style="medium">
        <color rgb="FFD1D9E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2" xfId="0" applyBorder="1"/>
    <xf numFmtId="0" fontId="3" fillId="2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0" fillId="0" borderId="2" xfId="0" applyBorder="1" applyAlignment="1"/>
    <xf numFmtId="0" fontId="8" fillId="0" borderId="0" xfId="0" applyFont="1"/>
    <xf numFmtId="0" fontId="4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4" fontId="3" fillId="2" borderId="2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4" fontId="3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44" fontId="8" fillId="0" borderId="2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 indent="1"/>
    </xf>
    <xf numFmtId="10" fontId="11" fillId="2" borderId="9" xfId="1" applyNumberFormat="1" applyFont="1" applyFill="1" applyBorder="1" applyAlignment="1">
      <alignment horizontal="left" vertical="center" wrapText="1" indent="1"/>
    </xf>
    <xf numFmtId="10" fontId="11" fillId="2" borderId="10" xfId="1" applyNumberFormat="1" applyFont="1" applyFill="1" applyBorder="1" applyAlignment="1">
      <alignment horizontal="left" vertical="center" wrapText="1" inden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left" vertical="center" wrapText="1" indent="1"/>
    </xf>
    <xf numFmtId="14" fontId="6" fillId="3" borderId="1" xfId="0" applyNumberFormat="1" applyFont="1" applyFill="1" applyBorder="1" applyAlignment="1">
      <alignment horizontal="left" vertical="center" wrapText="1" indent="1"/>
    </xf>
    <xf numFmtId="0" fontId="13" fillId="5" borderId="0" xfId="0" applyFont="1" applyFill="1"/>
    <xf numFmtId="0" fontId="0" fillId="0" borderId="0" xfId="0" applyBorder="1"/>
    <xf numFmtId="0" fontId="13" fillId="5" borderId="0" xfId="0" applyFont="1" applyFill="1" applyBorder="1"/>
    <xf numFmtId="44" fontId="13" fillId="5" borderId="0" xfId="0" applyNumberFormat="1" applyFont="1" applyFill="1"/>
    <xf numFmtId="0" fontId="6" fillId="2" borderId="1" xfId="0" applyFont="1" applyFill="1" applyBorder="1" applyAlignment="1">
      <alignment horizontal="center" vertical="center" wrapText="1"/>
    </xf>
    <xf numFmtId="44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4" fontId="6" fillId="3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left" vertical="center" wrapText="1" indent="1"/>
    </xf>
    <xf numFmtId="0" fontId="6" fillId="2" borderId="11" xfId="0" applyFont="1" applyFill="1" applyBorder="1" applyAlignment="1">
      <alignment horizontal="center" vertical="center" wrapText="1"/>
    </xf>
    <xf numFmtId="44" fontId="6" fillId="2" borderId="0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0" borderId="0" xfId="0" applyFont="1"/>
    <xf numFmtId="44" fontId="0" fillId="0" borderId="0" xfId="0" applyNumberFormat="1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3" fillId="0" borderId="3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3" fillId="0" borderId="0" xfId="0" applyFont="1"/>
    <xf numFmtId="0" fontId="16" fillId="0" borderId="0" xfId="0" applyFont="1"/>
    <xf numFmtId="0" fontId="1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18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 indent="1"/>
    </xf>
    <xf numFmtId="0" fontId="15" fillId="3" borderId="1" xfId="0" applyFont="1" applyFill="1" applyBorder="1" applyAlignment="1">
      <alignment horizontal="left" vertical="center" wrapText="1" indent="1"/>
    </xf>
    <xf numFmtId="0" fontId="20" fillId="3" borderId="1" xfId="0" applyFont="1" applyFill="1" applyBorder="1" applyAlignment="1">
      <alignment horizontal="left" vertical="center" wrapText="1" indent="1"/>
    </xf>
  </cellXfs>
  <cellStyles count="2">
    <cellStyle name="Normal" xfId="0" builtinId="0"/>
    <cellStyle name="Percent" xfId="1" builtinId="5"/>
  </cellStyles>
  <dxfs count="16">
    <dxf>
      <font>
        <color rgb="FFFFFF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color theme="1" tint="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323850</xdr:colOff>
      <xdr:row>2</xdr:row>
      <xdr:rowOff>426414</xdr:rowOff>
    </xdr:from>
    <xdr:to>
      <xdr:col>26</xdr:col>
      <xdr:colOff>86636</xdr:colOff>
      <xdr:row>14</xdr:row>
      <xdr:rowOff>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A31B0B-CF6E-2DE9-DCD7-72ED7C5B4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87050" y="1540839"/>
          <a:ext cx="4639586" cy="32985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664E-4FA6-4C37-A32A-C5431F023875}">
  <dimension ref="A1:V22"/>
  <sheetViews>
    <sheetView workbookViewId="0">
      <selection activeCell="M15" sqref="M15"/>
    </sheetView>
  </sheetViews>
  <sheetFormatPr defaultRowHeight="15" x14ac:dyDescent="0.25"/>
  <cols>
    <col min="2" max="2" width="15" bestFit="1" customWidth="1"/>
    <col min="4" max="4" width="14.28515625" bestFit="1" customWidth="1"/>
    <col min="5" max="5" width="21" bestFit="1" customWidth="1"/>
  </cols>
  <sheetData>
    <row r="1" spans="1:22" ht="34.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4"/>
    </row>
    <row r="2" spans="1:22" ht="17.25" x14ac:dyDescent="0.25">
      <c r="A2" s="7" t="s">
        <v>5</v>
      </c>
      <c r="B2" s="7" t="s">
        <v>6</v>
      </c>
      <c r="C2" s="8" t="s">
        <v>7</v>
      </c>
      <c r="D2" s="9">
        <v>32000</v>
      </c>
      <c r="E2" s="10">
        <v>44573</v>
      </c>
      <c r="F2" s="4"/>
    </row>
    <row r="3" spans="1:22" ht="17.25" x14ac:dyDescent="0.25">
      <c r="A3" s="11" t="s">
        <v>8</v>
      </c>
      <c r="B3" s="11" t="s">
        <v>9</v>
      </c>
      <c r="C3" s="12" t="s">
        <v>10</v>
      </c>
      <c r="D3" s="13">
        <v>45000</v>
      </c>
      <c r="E3" s="14">
        <v>44260</v>
      </c>
      <c r="F3" s="4"/>
    </row>
    <row r="4" spans="1:22" ht="17.25" x14ac:dyDescent="0.25">
      <c r="A4" s="7" t="s">
        <v>11</v>
      </c>
      <c r="B4" s="7" t="s">
        <v>12</v>
      </c>
      <c r="C4" s="8" t="s">
        <v>47</v>
      </c>
      <c r="D4" s="9">
        <v>38000</v>
      </c>
      <c r="E4" s="10">
        <v>44030</v>
      </c>
      <c r="F4" s="4"/>
    </row>
    <row r="5" spans="1:22" ht="17.25" x14ac:dyDescent="0.25">
      <c r="A5" s="11" t="s">
        <v>14</v>
      </c>
      <c r="B5" s="11" t="s">
        <v>15</v>
      </c>
      <c r="C5" s="12" t="s">
        <v>10</v>
      </c>
      <c r="D5" s="13">
        <v>52000</v>
      </c>
      <c r="E5" s="14">
        <v>43779</v>
      </c>
      <c r="F5" s="4"/>
    </row>
    <row r="6" spans="1:22" ht="17.25" x14ac:dyDescent="0.25">
      <c r="A6" s="7" t="s">
        <v>16</v>
      </c>
      <c r="B6" s="7" t="s">
        <v>17</v>
      </c>
      <c r="C6" s="8" t="s">
        <v>7</v>
      </c>
      <c r="D6" s="9">
        <v>30000</v>
      </c>
      <c r="E6" s="10">
        <v>45102</v>
      </c>
      <c r="F6" s="4"/>
    </row>
    <row r="7" spans="1:22" ht="15.75" x14ac:dyDescent="0.25">
      <c r="A7" s="15" t="s">
        <v>18</v>
      </c>
      <c r="B7" s="15" t="s">
        <v>32</v>
      </c>
      <c r="C7" s="16" t="s">
        <v>10</v>
      </c>
      <c r="D7" s="17">
        <f ca="1">RANDBETWEEN(30000,60000)</f>
        <v>46105</v>
      </c>
      <c r="E7" s="18">
        <v>44007</v>
      </c>
      <c r="F7" s="4"/>
    </row>
    <row r="8" spans="1:22" ht="15.75" x14ac:dyDescent="0.25">
      <c r="A8" s="15" t="s">
        <v>19</v>
      </c>
      <c r="B8" s="15" t="s">
        <v>33</v>
      </c>
      <c r="C8" s="16" t="s">
        <v>47</v>
      </c>
      <c r="D8" s="17">
        <f t="shared" ref="D8:D20" ca="1" si="0">RANDBETWEEN(30000,60000)</f>
        <v>53720</v>
      </c>
      <c r="E8" s="18">
        <v>45198</v>
      </c>
    </row>
    <row r="9" spans="1:22" ht="15.75" x14ac:dyDescent="0.25">
      <c r="A9" s="15" t="s">
        <v>20</v>
      </c>
      <c r="B9" s="15" t="s">
        <v>34</v>
      </c>
      <c r="C9" s="16" t="s">
        <v>7</v>
      </c>
      <c r="D9" s="17">
        <f t="shared" ca="1" si="0"/>
        <v>49197</v>
      </c>
      <c r="E9" s="18">
        <v>44409</v>
      </c>
    </row>
    <row r="10" spans="1:22" ht="15.75" x14ac:dyDescent="0.25">
      <c r="A10" s="15" t="s">
        <v>21</v>
      </c>
      <c r="B10" s="15" t="s">
        <v>35</v>
      </c>
      <c r="C10" s="16" t="s">
        <v>10</v>
      </c>
      <c r="D10" s="17">
        <f t="shared" ca="1" si="0"/>
        <v>30388</v>
      </c>
      <c r="E10" s="18">
        <v>44744</v>
      </c>
      <c r="Q10" s="51" t="s">
        <v>48</v>
      </c>
      <c r="R10" s="52"/>
      <c r="S10" s="52"/>
      <c r="T10" s="52"/>
      <c r="U10" s="52"/>
      <c r="V10" s="52"/>
    </row>
    <row r="11" spans="1:22" ht="15.75" x14ac:dyDescent="0.25">
      <c r="A11" s="15" t="s">
        <v>22</v>
      </c>
      <c r="B11" s="15" t="s">
        <v>36</v>
      </c>
      <c r="C11" s="16" t="s">
        <v>47</v>
      </c>
      <c r="D11" s="17">
        <f t="shared" ca="1" si="0"/>
        <v>54467</v>
      </c>
      <c r="E11" s="18">
        <v>45588</v>
      </c>
      <c r="Q11" s="52"/>
      <c r="R11" s="52"/>
      <c r="S11" s="52"/>
      <c r="T11" s="52"/>
      <c r="U11" s="52"/>
      <c r="V11" s="52"/>
    </row>
    <row r="12" spans="1:22" ht="15.75" x14ac:dyDescent="0.25">
      <c r="A12" s="15" t="s">
        <v>23</v>
      </c>
      <c r="B12" s="15" t="s">
        <v>37</v>
      </c>
      <c r="C12" s="16" t="s">
        <v>7</v>
      </c>
      <c r="D12" s="17">
        <f t="shared" ca="1" si="0"/>
        <v>43813</v>
      </c>
      <c r="E12" s="18">
        <v>45693</v>
      </c>
      <c r="Q12" s="52"/>
      <c r="R12" s="52"/>
      <c r="S12" s="52"/>
      <c r="T12" s="52"/>
      <c r="U12" s="52"/>
      <c r="V12" s="52"/>
    </row>
    <row r="13" spans="1:22" ht="15.75" x14ac:dyDescent="0.25">
      <c r="A13" s="15" t="s">
        <v>24</v>
      </c>
      <c r="B13" s="15" t="s">
        <v>38</v>
      </c>
      <c r="C13" s="16" t="s">
        <v>10</v>
      </c>
      <c r="D13" s="17">
        <f t="shared" ca="1" si="0"/>
        <v>39900</v>
      </c>
      <c r="E13" s="18">
        <v>45723</v>
      </c>
      <c r="Q13" s="52"/>
      <c r="R13" s="52"/>
      <c r="S13" s="52"/>
      <c r="T13" s="52"/>
      <c r="U13" s="52"/>
      <c r="V13" s="52"/>
    </row>
    <row r="14" spans="1:22" ht="15.75" x14ac:dyDescent="0.25">
      <c r="A14" s="15" t="s">
        <v>25</v>
      </c>
      <c r="B14" s="15" t="s">
        <v>39</v>
      </c>
      <c r="C14" s="16" t="s">
        <v>47</v>
      </c>
      <c r="D14" s="17">
        <f t="shared" ca="1" si="0"/>
        <v>56166</v>
      </c>
      <c r="E14" s="18">
        <v>45644</v>
      </c>
      <c r="Q14" s="52"/>
      <c r="R14" s="52"/>
      <c r="S14" s="52"/>
      <c r="T14" s="52"/>
      <c r="U14" s="52"/>
      <c r="V14" s="52"/>
    </row>
    <row r="15" spans="1:22" ht="15.75" x14ac:dyDescent="0.25">
      <c r="A15" s="15" t="s">
        <v>26</v>
      </c>
      <c r="B15" s="15" t="s">
        <v>40</v>
      </c>
      <c r="C15" s="16" t="s">
        <v>7</v>
      </c>
      <c r="D15" s="17">
        <f t="shared" ca="1" si="0"/>
        <v>37200</v>
      </c>
      <c r="E15" s="18">
        <f>+E14-10</f>
        <v>45634</v>
      </c>
      <c r="Q15" s="52"/>
      <c r="R15" s="52"/>
      <c r="S15" s="52"/>
      <c r="T15" s="52"/>
      <c r="U15" s="52"/>
      <c r="V15" s="52"/>
    </row>
    <row r="16" spans="1:22" ht="15.75" x14ac:dyDescent="0.25">
      <c r="A16" s="15" t="s">
        <v>27</v>
      </c>
      <c r="B16" s="15" t="s">
        <v>41</v>
      </c>
      <c r="C16" s="16" t="s">
        <v>10</v>
      </c>
      <c r="D16" s="17">
        <f t="shared" ca="1" si="0"/>
        <v>42612</v>
      </c>
      <c r="E16" s="18">
        <f>+E15-45</f>
        <v>45589</v>
      </c>
      <c r="Q16" s="52"/>
      <c r="R16" s="52"/>
      <c r="S16" s="52"/>
      <c r="T16" s="52"/>
      <c r="U16" s="52"/>
      <c r="V16" s="52"/>
    </row>
    <row r="17" spans="1:22" ht="15.75" x14ac:dyDescent="0.25">
      <c r="A17" s="15" t="s">
        <v>28</v>
      </c>
      <c r="B17" s="15" t="s">
        <v>42</v>
      </c>
      <c r="C17" s="16" t="s">
        <v>47</v>
      </c>
      <c r="D17" s="17">
        <f t="shared" ca="1" si="0"/>
        <v>53513</v>
      </c>
      <c r="E17" s="18">
        <f t="shared" ref="E17:E20" si="1">+E16-45</f>
        <v>45544</v>
      </c>
      <c r="Q17" s="52"/>
      <c r="R17" s="52"/>
      <c r="S17" s="52"/>
      <c r="T17" s="52"/>
      <c r="U17" s="52"/>
      <c r="V17" s="52"/>
    </row>
    <row r="18" spans="1:22" ht="15.75" x14ac:dyDescent="0.25">
      <c r="A18" s="15" t="s">
        <v>29</v>
      </c>
      <c r="B18" s="15" t="s">
        <v>43</v>
      </c>
      <c r="C18" s="16" t="s">
        <v>7</v>
      </c>
      <c r="D18" s="17">
        <f t="shared" ca="1" si="0"/>
        <v>59635</v>
      </c>
      <c r="E18" s="18">
        <f t="shared" si="1"/>
        <v>45499</v>
      </c>
      <c r="Q18" s="52"/>
      <c r="R18" s="52"/>
      <c r="S18" s="52"/>
      <c r="T18" s="52"/>
      <c r="U18" s="52"/>
      <c r="V18" s="52"/>
    </row>
    <row r="19" spans="1:22" ht="15.75" x14ac:dyDescent="0.25">
      <c r="A19" s="15" t="s">
        <v>30</v>
      </c>
      <c r="B19" s="15" t="s">
        <v>44</v>
      </c>
      <c r="C19" s="16" t="s">
        <v>10</v>
      </c>
      <c r="D19" s="17">
        <f t="shared" ca="1" si="0"/>
        <v>56043</v>
      </c>
      <c r="E19" s="18">
        <f t="shared" si="1"/>
        <v>45454</v>
      </c>
      <c r="Q19" s="52"/>
      <c r="R19" s="52"/>
      <c r="S19" s="52"/>
      <c r="T19" s="52"/>
      <c r="U19" s="52"/>
      <c r="V19" s="52"/>
    </row>
    <row r="20" spans="1:22" ht="15.75" x14ac:dyDescent="0.25">
      <c r="A20" s="15" t="s">
        <v>31</v>
      </c>
      <c r="B20" s="15" t="s">
        <v>45</v>
      </c>
      <c r="C20" s="16" t="s">
        <v>47</v>
      </c>
      <c r="D20" s="17">
        <f t="shared" ca="1" si="0"/>
        <v>52279</v>
      </c>
      <c r="E20" s="18">
        <f t="shared" si="1"/>
        <v>45409</v>
      </c>
      <c r="Q20" s="52"/>
      <c r="R20" s="52"/>
      <c r="S20" s="52"/>
      <c r="T20" s="52"/>
      <c r="U20" s="52"/>
      <c r="V20" s="52"/>
    </row>
    <row r="21" spans="1:22" ht="15.75" x14ac:dyDescent="0.25">
      <c r="D21" s="5"/>
      <c r="Q21" s="52"/>
      <c r="R21" s="52"/>
      <c r="S21" s="52"/>
      <c r="T21" s="52"/>
      <c r="U21" s="52"/>
      <c r="V21" s="52"/>
    </row>
    <row r="22" spans="1:22" x14ac:dyDescent="0.25">
      <c r="Q22" s="52"/>
      <c r="R22" s="52"/>
      <c r="S22" s="52"/>
      <c r="T22" s="52"/>
      <c r="U22" s="52"/>
      <c r="V22" s="52"/>
    </row>
  </sheetData>
  <mergeCells count="1">
    <mergeCell ref="Q10:V22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29DA-68D9-4739-9353-797617278671}">
  <dimension ref="A1:U21"/>
  <sheetViews>
    <sheetView workbookViewId="0">
      <selection activeCell="H6" sqref="H6"/>
    </sheetView>
  </sheetViews>
  <sheetFormatPr defaultRowHeight="15" x14ac:dyDescent="0.25"/>
  <cols>
    <col min="1" max="1" width="17.85546875" customWidth="1"/>
    <col min="2" max="2" width="7.140625" bestFit="1" customWidth="1"/>
    <col min="3" max="3" width="11.5703125" bestFit="1" customWidth="1"/>
    <col min="4" max="4" width="8.28515625" bestFit="1" customWidth="1"/>
    <col min="15" max="15" width="3" customWidth="1"/>
    <col min="16" max="19" width="9.140625" hidden="1" customWidth="1"/>
    <col min="20" max="20" width="9.42578125" customWidth="1"/>
    <col min="21" max="21" width="32.28515625" customWidth="1"/>
  </cols>
  <sheetData>
    <row r="1" spans="1:21" ht="15.75" thickBot="1" x14ac:dyDescent="0.3">
      <c r="A1" s="53" t="s">
        <v>70</v>
      </c>
      <c r="B1" s="53"/>
      <c r="C1" s="53"/>
      <c r="D1" s="53"/>
    </row>
    <row r="2" spans="1:21" ht="33.75" thickBot="1" x14ac:dyDescent="0.3">
      <c r="A2" s="46" t="s">
        <v>49</v>
      </c>
      <c r="B2" s="47" t="s">
        <v>50</v>
      </c>
      <c r="C2" s="47" t="s">
        <v>51</v>
      </c>
      <c r="D2" s="47" t="s">
        <v>52</v>
      </c>
    </row>
    <row r="3" spans="1:21" ht="30" x14ac:dyDescent="0.25">
      <c r="A3" s="48" t="s">
        <v>53</v>
      </c>
      <c r="B3" s="49" t="s">
        <v>54</v>
      </c>
      <c r="C3" s="50">
        <v>45000</v>
      </c>
      <c r="D3" s="49" t="s">
        <v>55</v>
      </c>
    </row>
    <row r="4" spans="1:21" ht="30" x14ac:dyDescent="0.25">
      <c r="A4" s="48" t="s">
        <v>56</v>
      </c>
      <c r="B4" s="49" t="s">
        <v>57</v>
      </c>
      <c r="C4" s="50">
        <v>12000</v>
      </c>
      <c r="D4" s="49" t="s">
        <v>58</v>
      </c>
    </row>
    <row r="5" spans="1:21" ht="30" x14ac:dyDescent="0.25">
      <c r="A5" s="48" t="s">
        <v>59</v>
      </c>
      <c r="B5" s="49" t="s">
        <v>60</v>
      </c>
      <c r="C5" s="50">
        <v>18000</v>
      </c>
      <c r="D5" s="49" t="s">
        <v>61</v>
      </c>
    </row>
    <row r="6" spans="1:21" ht="30" x14ac:dyDescent="0.25">
      <c r="A6" s="48" t="s">
        <v>62</v>
      </c>
      <c r="B6" s="49" t="s">
        <v>63</v>
      </c>
      <c r="C6" s="50">
        <v>62000</v>
      </c>
      <c r="D6" s="49" t="s">
        <v>64</v>
      </c>
    </row>
    <row r="7" spans="1:21" ht="60" x14ac:dyDescent="0.25">
      <c r="A7" s="48" t="s">
        <v>65</v>
      </c>
      <c r="B7" s="49" t="s">
        <v>54</v>
      </c>
      <c r="C7" s="50">
        <v>59187</v>
      </c>
      <c r="D7" s="49" t="s">
        <v>55</v>
      </c>
      <c r="U7" s="19" t="s">
        <v>69</v>
      </c>
    </row>
    <row r="8" spans="1:21" ht="30" x14ac:dyDescent="0.25">
      <c r="A8" s="48" t="s">
        <v>56</v>
      </c>
      <c r="B8" s="49" t="s">
        <v>57</v>
      </c>
      <c r="C8" s="50">
        <v>50985</v>
      </c>
      <c r="D8" s="49" t="s">
        <v>58</v>
      </c>
    </row>
    <row r="9" spans="1:21" ht="30" x14ac:dyDescent="0.25">
      <c r="A9" s="48" t="s">
        <v>59</v>
      </c>
      <c r="B9" s="49" t="s">
        <v>60</v>
      </c>
      <c r="C9" s="50">
        <v>52547</v>
      </c>
      <c r="D9" s="49" t="s">
        <v>61</v>
      </c>
    </row>
    <row r="10" spans="1:21" ht="30" x14ac:dyDescent="0.25">
      <c r="A10" s="48" t="s">
        <v>62</v>
      </c>
      <c r="B10" s="49" t="s">
        <v>63</v>
      </c>
      <c r="C10" s="50">
        <v>43712</v>
      </c>
      <c r="D10" s="49" t="s">
        <v>64</v>
      </c>
    </row>
    <row r="11" spans="1:21" ht="30" x14ac:dyDescent="0.25">
      <c r="A11" s="48" t="s">
        <v>66</v>
      </c>
      <c r="B11" s="49" t="s">
        <v>54</v>
      </c>
      <c r="C11" s="50">
        <v>59709</v>
      </c>
      <c r="D11" s="49" t="s">
        <v>55</v>
      </c>
    </row>
    <row r="12" spans="1:21" ht="30" x14ac:dyDescent="0.25">
      <c r="A12" s="48" t="s">
        <v>56</v>
      </c>
      <c r="B12" s="49" t="s">
        <v>57</v>
      </c>
      <c r="C12" s="50">
        <v>41661</v>
      </c>
      <c r="D12" s="49" t="s">
        <v>58</v>
      </c>
    </row>
    <row r="13" spans="1:21" ht="30" x14ac:dyDescent="0.25">
      <c r="A13" s="48" t="s">
        <v>59</v>
      </c>
      <c r="B13" s="49" t="s">
        <v>60</v>
      </c>
      <c r="C13" s="50">
        <v>54810</v>
      </c>
      <c r="D13" s="49" t="s">
        <v>61</v>
      </c>
    </row>
    <row r="14" spans="1:21" ht="30" x14ac:dyDescent="0.25">
      <c r="A14" s="48" t="s">
        <v>62</v>
      </c>
      <c r="B14" s="49" t="s">
        <v>63</v>
      </c>
      <c r="C14" s="50">
        <v>57649</v>
      </c>
      <c r="D14" s="49" t="s">
        <v>64</v>
      </c>
    </row>
    <row r="15" spans="1:21" ht="30" x14ac:dyDescent="0.25">
      <c r="A15" s="48" t="s">
        <v>67</v>
      </c>
      <c r="B15" s="49" t="s">
        <v>54</v>
      </c>
      <c r="C15" s="50">
        <v>46601</v>
      </c>
      <c r="D15" s="49" t="s">
        <v>55</v>
      </c>
    </row>
    <row r="16" spans="1:21" ht="30" x14ac:dyDescent="0.25">
      <c r="A16" s="48" t="s">
        <v>56</v>
      </c>
      <c r="B16" s="49" t="s">
        <v>57</v>
      </c>
      <c r="C16" s="50">
        <v>59043</v>
      </c>
      <c r="D16" s="49" t="s">
        <v>58</v>
      </c>
    </row>
    <row r="17" spans="1:4" ht="30" x14ac:dyDescent="0.25">
      <c r="A17" s="48" t="s">
        <v>59</v>
      </c>
      <c r="B17" s="49" t="s">
        <v>60</v>
      </c>
      <c r="C17" s="50">
        <v>53290</v>
      </c>
      <c r="D17" s="49" t="s">
        <v>61</v>
      </c>
    </row>
    <row r="18" spans="1:4" ht="30" x14ac:dyDescent="0.25">
      <c r="A18" s="48" t="s">
        <v>62</v>
      </c>
      <c r="B18" s="49" t="s">
        <v>63</v>
      </c>
      <c r="C18" s="50">
        <v>45647</v>
      </c>
      <c r="D18" s="49" t="s">
        <v>64</v>
      </c>
    </row>
    <row r="19" spans="1:4" ht="30" x14ac:dyDescent="0.25">
      <c r="A19" s="48" t="s">
        <v>68</v>
      </c>
      <c r="B19" s="49" t="s">
        <v>54</v>
      </c>
      <c r="C19" s="50">
        <v>40203</v>
      </c>
      <c r="D19" s="49" t="s">
        <v>55</v>
      </c>
    </row>
    <row r="20" spans="1:4" ht="30" x14ac:dyDescent="0.25">
      <c r="A20" s="48" t="s">
        <v>56</v>
      </c>
      <c r="B20" s="49" t="s">
        <v>57</v>
      </c>
      <c r="C20" s="50">
        <v>48361</v>
      </c>
      <c r="D20" s="49" t="s">
        <v>58</v>
      </c>
    </row>
    <row r="21" spans="1:4" ht="18" customHeight="1" x14ac:dyDescent="0.25">
      <c r="A21" s="48" t="s">
        <v>59</v>
      </c>
      <c r="B21" s="49" t="s">
        <v>60</v>
      </c>
      <c r="C21" s="50">
        <v>48906</v>
      </c>
      <c r="D21" s="49" t="s">
        <v>61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253D-26E1-4724-9B45-B5E659A7710B}">
  <dimension ref="A1:Y20"/>
  <sheetViews>
    <sheetView workbookViewId="0">
      <selection activeCell="J2" sqref="J2"/>
    </sheetView>
  </sheetViews>
  <sheetFormatPr defaultRowHeight="15" x14ac:dyDescent="0.25"/>
  <cols>
    <col min="1" max="1" width="5.7109375" bestFit="1" customWidth="1"/>
    <col min="3" max="3" width="8.140625" bestFit="1" customWidth="1"/>
    <col min="7" max="7" width="12.5703125" bestFit="1" customWidth="1"/>
  </cols>
  <sheetData>
    <row r="1" spans="1:25" ht="30" x14ac:dyDescent="0.25">
      <c r="A1" s="24" t="s">
        <v>71</v>
      </c>
      <c r="B1" s="25" t="s">
        <v>72</v>
      </c>
      <c r="C1" s="25" t="s">
        <v>73</v>
      </c>
      <c r="D1" s="25" t="s">
        <v>74</v>
      </c>
      <c r="E1" s="25" t="s">
        <v>75</v>
      </c>
      <c r="F1" s="26" t="s">
        <v>82</v>
      </c>
      <c r="G1" s="30" t="s">
        <v>76</v>
      </c>
    </row>
    <row r="2" spans="1:25" ht="34.5" x14ac:dyDescent="0.25">
      <c r="A2" s="2">
        <v>1</v>
      </c>
      <c r="B2" s="2" t="s">
        <v>77</v>
      </c>
      <c r="C2" s="2">
        <v>78</v>
      </c>
      <c r="D2" s="2">
        <v>82</v>
      </c>
      <c r="E2" s="2">
        <v>74</v>
      </c>
      <c r="F2" s="27">
        <f>SUM(C2,D2,E2)</f>
        <v>234</v>
      </c>
      <c r="G2" s="28">
        <f>+F2/300</f>
        <v>0.78</v>
      </c>
    </row>
    <row r="3" spans="1:25" ht="34.5" x14ac:dyDescent="0.25">
      <c r="A3" s="2">
        <v>2</v>
      </c>
      <c r="B3" s="3" t="s">
        <v>78</v>
      </c>
      <c r="C3" s="3">
        <v>65</v>
      </c>
      <c r="D3" s="3">
        <v>70</v>
      </c>
      <c r="E3" s="3">
        <v>68</v>
      </c>
      <c r="F3" s="27">
        <f t="shared" ref="F3:F20" si="0">SUM(C3,D3,E3)</f>
        <v>203</v>
      </c>
      <c r="G3" s="28">
        <f t="shared" ref="G3:G20" si="1">+F3/300</f>
        <v>0.67666666666666664</v>
      </c>
    </row>
    <row r="4" spans="1:25" ht="17.25" x14ac:dyDescent="0.25">
      <c r="A4" s="2">
        <v>3</v>
      </c>
      <c r="B4" s="2" t="s">
        <v>79</v>
      </c>
      <c r="C4" s="2">
        <v>90</v>
      </c>
      <c r="D4" s="2">
        <v>88</v>
      </c>
      <c r="E4" s="2">
        <v>92</v>
      </c>
      <c r="F4" s="27">
        <f t="shared" si="0"/>
        <v>270</v>
      </c>
      <c r="G4" s="28">
        <f t="shared" si="1"/>
        <v>0.9</v>
      </c>
      <c r="W4" s="52"/>
      <c r="X4" s="52"/>
      <c r="Y4" s="52"/>
    </row>
    <row r="5" spans="1:25" ht="17.25" x14ac:dyDescent="0.25">
      <c r="A5" s="2">
        <v>4</v>
      </c>
      <c r="B5" s="3" t="s">
        <v>80</v>
      </c>
      <c r="C5" s="3">
        <v>35</v>
      </c>
      <c r="D5" s="3">
        <v>40</v>
      </c>
      <c r="E5" s="3">
        <v>38</v>
      </c>
      <c r="F5" s="27">
        <f t="shared" si="0"/>
        <v>113</v>
      </c>
      <c r="G5" s="28">
        <f t="shared" si="1"/>
        <v>0.37666666666666665</v>
      </c>
      <c r="W5" s="52"/>
      <c r="X5" s="52"/>
      <c r="Y5" s="52"/>
    </row>
    <row r="6" spans="1:25" ht="17.25" x14ac:dyDescent="0.25">
      <c r="A6" s="2">
        <v>5</v>
      </c>
      <c r="B6" s="2" t="s">
        <v>81</v>
      </c>
      <c r="C6" s="2">
        <v>55</v>
      </c>
      <c r="D6" s="2">
        <v>60</v>
      </c>
      <c r="E6" s="2">
        <v>58</v>
      </c>
      <c r="F6" s="27">
        <f t="shared" si="0"/>
        <v>173</v>
      </c>
      <c r="G6" s="28">
        <f t="shared" si="1"/>
        <v>0.57666666666666666</v>
      </c>
      <c r="W6" s="52"/>
      <c r="X6" s="52"/>
      <c r="Y6" s="52"/>
    </row>
    <row r="7" spans="1:25" ht="34.5" x14ac:dyDescent="0.25">
      <c r="A7" s="2">
        <v>6</v>
      </c>
      <c r="B7" s="2" t="s">
        <v>77</v>
      </c>
      <c r="C7" s="1">
        <v>91</v>
      </c>
      <c r="D7" s="1">
        <v>77</v>
      </c>
      <c r="E7" s="1">
        <v>95</v>
      </c>
      <c r="F7" s="27">
        <f t="shared" si="0"/>
        <v>263</v>
      </c>
      <c r="G7" s="28">
        <f t="shared" si="1"/>
        <v>0.87666666666666671</v>
      </c>
      <c r="W7" s="52"/>
      <c r="X7" s="52"/>
      <c r="Y7" s="52"/>
    </row>
    <row r="8" spans="1:25" ht="34.5" x14ac:dyDescent="0.25">
      <c r="A8" s="2">
        <v>7</v>
      </c>
      <c r="B8" s="3" t="s">
        <v>78</v>
      </c>
      <c r="C8" s="1">
        <v>88</v>
      </c>
      <c r="D8" s="1">
        <v>66</v>
      </c>
      <c r="E8" s="1">
        <v>95</v>
      </c>
      <c r="F8" s="27">
        <f t="shared" si="0"/>
        <v>249</v>
      </c>
      <c r="G8" s="28">
        <f t="shared" si="1"/>
        <v>0.83</v>
      </c>
      <c r="W8" s="52"/>
      <c r="X8" s="52"/>
      <c r="Y8" s="52"/>
    </row>
    <row r="9" spans="1:25" ht="17.25" x14ac:dyDescent="0.25">
      <c r="A9" s="2">
        <v>8</v>
      </c>
      <c r="B9" s="2" t="s">
        <v>79</v>
      </c>
      <c r="C9" s="1">
        <v>78</v>
      </c>
      <c r="D9" s="1">
        <v>62</v>
      </c>
      <c r="E9" s="1">
        <v>66</v>
      </c>
      <c r="F9" s="27">
        <f t="shared" si="0"/>
        <v>206</v>
      </c>
      <c r="G9" s="28">
        <f t="shared" si="1"/>
        <v>0.68666666666666665</v>
      </c>
      <c r="W9" s="52"/>
      <c r="X9" s="52"/>
      <c r="Y9" s="52"/>
    </row>
    <row r="10" spans="1:25" ht="17.25" x14ac:dyDescent="0.25">
      <c r="A10" s="2">
        <v>9</v>
      </c>
      <c r="B10" s="3" t="s">
        <v>80</v>
      </c>
      <c r="C10" s="1">
        <v>83</v>
      </c>
      <c r="D10" s="1">
        <v>63</v>
      </c>
      <c r="E10" s="1">
        <v>78</v>
      </c>
      <c r="F10" s="27">
        <f t="shared" si="0"/>
        <v>224</v>
      </c>
      <c r="G10" s="28">
        <f t="shared" si="1"/>
        <v>0.7466666666666667</v>
      </c>
      <c r="W10" s="52"/>
      <c r="X10" s="52"/>
      <c r="Y10" s="52"/>
    </row>
    <row r="11" spans="1:25" ht="17.25" x14ac:dyDescent="0.25">
      <c r="A11" s="2">
        <v>10</v>
      </c>
      <c r="B11" s="2" t="s">
        <v>81</v>
      </c>
      <c r="C11" s="1">
        <v>78</v>
      </c>
      <c r="D11" s="1">
        <v>75</v>
      </c>
      <c r="E11" s="1">
        <v>53</v>
      </c>
      <c r="F11" s="27">
        <f t="shared" si="0"/>
        <v>206</v>
      </c>
      <c r="G11" s="28">
        <f t="shared" si="1"/>
        <v>0.68666666666666665</v>
      </c>
      <c r="W11" s="52"/>
      <c r="X11" s="52"/>
      <c r="Y11" s="52"/>
    </row>
    <row r="12" spans="1:25" ht="34.5" x14ac:dyDescent="0.25">
      <c r="A12" s="2">
        <v>11</v>
      </c>
      <c r="B12" s="2" t="s">
        <v>77</v>
      </c>
      <c r="C12" s="1">
        <v>48</v>
      </c>
      <c r="D12" s="1">
        <v>55</v>
      </c>
      <c r="E12" s="1">
        <v>59</v>
      </c>
      <c r="F12" s="27">
        <f t="shared" si="0"/>
        <v>162</v>
      </c>
      <c r="G12" s="28">
        <f t="shared" si="1"/>
        <v>0.54</v>
      </c>
      <c r="W12" s="52"/>
      <c r="X12" s="52"/>
      <c r="Y12" s="52"/>
    </row>
    <row r="13" spans="1:25" ht="34.5" x14ac:dyDescent="0.25">
      <c r="A13" s="2">
        <v>12</v>
      </c>
      <c r="B13" s="3" t="s">
        <v>78</v>
      </c>
      <c r="C13" s="1">
        <v>100</v>
      </c>
      <c r="D13" s="1">
        <v>53</v>
      </c>
      <c r="E13" s="1">
        <v>90</v>
      </c>
      <c r="F13" s="27">
        <f t="shared" si="0"/>
        <v>243</v>
      </c>
      <c r="G13" s="28">
        <f t="shared" si="1"/>
        <v>0.81</v>
      </c>
      <c r="W13" s="52"/>
      <c r="X13" s="52"/>
      <c r="Y13" s="52"/>
    </row>
    <row r="14" spans="1:25" ht="17.25" x14ac:dyDescent="0.25">
      <c r="A14" s="2">
        <v>13</v>
      </c>
      <c r="B14" s="2" t="s">
        <v>79</v>
      </c>
      <c r="C14" s="1">
        <v>64</v>
      </c>
      <c r="D14" s="1">
        <v>75</v>
      </c>
      <c r="E14" s="1">
        <v>61</v>
      </c>
      <c r="F14" s="27">
        <f t="shared" si="0"/>
        <v>200</v>
      </c>
      <c r="G14" s="28">
        <f t="shared" si="1"/>
        <v>0.66666666666666663</v>
      </c>
    </row>
    <row r="15" spans="1:25" ht="17.25" x14ac:dyDescent="0.25">
      <c r="A15" s="2">
        <v>14</v>
      </c>
      <c r="B15" s="3" t="s">
        <v>80</v>
      </c>
      <c r="C15" s="1">
        <v>64</v>
      </c>
      <c r="D15" s="1">
        <v>54</v>
      </c>
      <c r="E15" s="1">
        <v>92</v>
      </c>
      <c r="F15" s="27">
        <f t="shared" si="0"/>
        <v>210</v>
      </c>
      <c r="G15" s="28">
        <f t="shared" si="1"/>
        <v>0.7</v>
      </c>
    </row>
    <row r="16" spans="1:25" ht="17.25" x14ac:dyDescent="0.25">
      <c r="A16" s="2">
        <v>15</v>
      </c>
      <c r="B16" s="2" t="s">
        <v>81</v>
      </c>
      <c r="C16" s="1">
        <v>72</v>
      </c>
      <c r="D16" s="1">
        <v>96</v>
      </c>
      <c r="E16" s="1">
        <v>73</v>
      </c>
      <c r="F16" s="27">
        <f t="shared" si="0"/>
        <v>241</v>
      </c>
      <c r="G16" s="28">
        <f t="shared" si="1"/>
        <v>0.80333333333333334</v>
      </c>
    </row>
    <row r="17" spans="1:7" ht="34.5" x14ac:dyDescent="0.25">
      <c r="A17" s="2">
        <v>16</v>
      </c>
      <c r="B17" s="2" t="s">
        <v>77</v>
      </c>
      <c r="C17" s="1">
        <v>99</v>
      </c>
      <c r="D17" s="1">
        <v>85</v>
      </c>
      <c r="E17" s="1">
        <v>50</v>
      </c>
      <c r="F17" s="27">
        <f t="shared" si="0"/>
        <v>234</v>
      </c>
      <c r="G17" s="28">
        <f t="shared" si="1"/>
        <v>0.78</v>
      </c>
    </row>
    <row r="18" spans="1:7" ht="34.5" x14ac:dyDescent="0.25">
      <c r="A18" s="2">
        <v>17</v>
      </c>
      <c r="B18" s="3" t="s">
        <v>78</v>
      </c>
      <c r="C18" s="1">
        <v>65</v>
      </c>
      <c r="D18" s="1">
        <v>71</v>
      </c>
      <c r="E18" s="1">
        <v>56</v>
      </c>
      <c r="F18" s="27">
        <f t="shared" si="0"/>
        <v>192</v>
      </c>
      <c r="G18" s="28">
        <f t="shared" si="1"/>
        <v>0.64</v>
      </c>
    </row>
    <row r="19" spans="1:7" ht="17.25" x14ac:dyDescent="0.25">
      <c r="A19" s="2">
        <v>18</v>
      </c>
      <c r="B19" s="2" t="s">
        <v>79</v>
      </c>
      <c r="C19" s="1">
        <v>53</v>
      </c>
      <c r="D19" s="1">
        <v>69</v>
      </c>
      <c r="E19" s="1">
        <v>80</v>
      </c>
      <c r="F19" s="27">
        <f t="shared" si="0"/>
        <v>202</v>
      </c>
      <c r="G19" s="28">
        <f t="shared" si="1"/>
        <v>0.67333333333333334</v>
      </c>
    </row>
    <row r="20" spans="1:7" ht="18" thickBot="1" x14ac:dyDescent="0.3">
      <c r="A20" s="2">
        <v>19</v>
      </c>
      <c r="B20" s="3" t="s">
        <v>80</v>
      </c>
      <c r="C20" s="1">
        <v>56</v>
      </c>
      <c r="D20" s="1">
        <v>68</v>
      </c>
      <c r="E20" s="1">
        <v>73</v>
      </c>
      <c r="F20" s="27">
        <f t="shared" si="0"/>
        <v>197</v>
      </c>
      <c r="G20" s="29">
        <f t="shared" si="1"/>
        <v>0.65666666666666662</v>
      </c>
    </row>
  </sheetData>
  <mergeCells count="1">
    <mergeCell ref="W4:Y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39ED-ADA4-4270-B72D-CB7FAC45AEFE}">
  <dimension ref="A1:X24"/>
  <sheetViews>
    <sheetView workbookViewId="0">
      <selection activeCell="D15" sqref="D15"/>
    </sheetView>
  </sheetViews>
  <sheetFormatPr defaultRowHeight="15" x14ac:dyDescent="0.25"/>
  <cols>
    <col min="2" max="2" width="14.7109375" bestFit="1" customWidth="1"/>
  </cols>
  <sheetData>
    <row r="1" spans="1:24" ht="29.25" thickBot="1" x14ac:dyDescent="0.3">
      <c r="A1" s="21" t="s">
        <v>83</v>
      </c>
      <c r="B1" s="21" t="s">
        <v>84</v>
      </c>
      <c r="C1" s="21" t="s">
        <v>51</v>
      </c>
      <c r="D1" s="31"/>
    </row>
    <row r="2" spans="1:24" ht="15.75" thickBot="1" x14ac:dyDescent="0.3">
      <c r="A2" s="22" t="s">
        <v>85</v>
      </c>
      <c r="B2" s="32">
        <v>45292</v>
      </c>
      <c r="C2" s="22">
        <v>12000</v>
      </c>
    </row>
    <row r="3" spans="1:24" ht="15.75" thickBot="1" x14ac:dyDescent="0.3">
      <c r="A3" s="23" t="s">
        <v>86</v>
      </c>
      <c r="B3" s="33">
        <v>45294</v>
      </c>
      <c r="C3" s="23">
        <v>25000</v>
      </c>
    </row>
    <row r="4" spans="1:24" ht="15.75" thickBot="1" x14ac:dyDescent="0.3">
      <c r="A4" s="22" t="s">
        <v>87</v>
      </c>
      <c r="B4" s="32">
        <v>45296</v>
      </c>
      <c r="C4" s="22">
        <v>8000</v>
      </c>
      <c r="U4" s="51" t="s">
        <v>104</v>
      </c>
      <c r="V4" s="52"/>
      <c r="W4" s="52"/>
      <c r="X4" s="52"/>
    </row>
    <row r="5" spans="1:24" ht="15.75" thickBot="1" x14ac:dyDescent="0.3">
      <c r="A5" s="23" t="s">
        <v>88</v>
      </c>
      <c r="B5" s="33">
        <v>45299</v>
      </c>
      <c r="C5" s="23">
        <v>32000</v>
      </c>
      <c r="U5" s="52"/>
      <c r="V5" s="52"/>
      <c r="W5" s="52"/>
      <c r="X5" s="52"/>
    </row>
    <row r="6" spans="1:24" ht="15.75" thickBot="1" x14ac:dyDescent="0.3">
      <c r="A6" s="22" t="s">
        <v>89</v>
      </c>
      <c r="B6" s="32">
        <v>45301</v>
      </c>
      <c r="C6" s="22">
        <v>15000</v>
      </c>
      <c r="U6" s="52"/>
      <c r="V6" s="52"/>
      <c r="W6" s="52"/>
      <c r="X6" s="52"/>
    </row>
    <row r="7" spans="1:24" ht="15.75" thickBot="1" x14ac:dyDescent="0.3">
      <c r="A7" s="22" t="s">
        <v>90</v>
      </c>
      <c r="B7" s="32">
        <v>45292</v>
      </c>
      <c r="C7" s="22">
        <v>22300</v>
      </c>
      <c r="U7" s="52"/>
      <c r="V7" s="52"/>
      <c r="W7" s="52"/>
      <c r="X7" s="52"/>
    </row>
    <row r="8" spans="1:24" ht="15.75" thickBot="1" x14ac:dyDescent="0.3">
      <c r="A8" s="23" t="s">
        <v>91</v>
      </c>
      <c r="B8" s="33">
        <v>45294</v>
      </c>
      <c r="C8" s="23">
        <v>23600</v>
      </c>
      <c r="U8" s="52"/>
      <c r="V8" s="52"/>
      <c r="W8" s="52"/>
      <c r="X8" s="52"/>
    </row>
    <row r="9" spans="1:24" ht="15.75" thickBot="1" x14ac:dyDescent="0.3">
      <c r="A9" s="22" t="s">
        <v>92</v>
      </c>
      <c r="B9" s="32">
        <v>45296</v>
      </c>
      <c r="C9" s="22">
        <v>24900</v>
      </c>
    </row>
    <row r="10" spans="1:24" ht="15.75" thickBot="1" x14ac:dyDescent="0.3">
      <c r="A10" s="23" t="s">
        <v>93</v>
      </c>
      <c r="B10" s="33">
        <v>45299</v>
      </c>
      <c r="C10" s="23">
        <v>26200</v>
      </c>
    </row>
    <row r="11" spans="1:24" ht="15.75" thickBot="1" x14ac:dyDescent="0.3">
      <c r="A11" s="22" t="s">
        <v>94</v>
      </c>
      <c r="B11" s="32">
        <v>45301</v>
      </c>
      <c r="C11" s="22">
        <v>27500</v>
      </c>
    </row>
    <row r="12" spans="1:24" ht="15.75" thickBot="1" x14ac:dyDescent="0.3">
      <c r="A12" s="22" t="s">
        <v>95</v>
      </c>
      <c r="B12" s="32">
        <v>45292</v>
      </c>
      <c r="C12" s="22">
        <v>28800</v>
      </c>
    </row>
    <row r="13" spans="1:24" ht="15.75" thickBot="1" x14ac:dyDescent="0.3">
      <c r="A13" s="23" t="s">
        <v>96</v>
      </c>
      <c r="B13" s="33">
        <v>45294</v>
      </c>
      <c r="C13" s="23">
        <v>30100</v>
      </c>
    </row>
    <row r="14" spans="1:24" ht="15.75" thickBot="1" x14ac:dyDescent="0.3">
      <c r="A14" s="22" t="s">
        <v>97</v>
      </c>
      <c r="B14" s="32">
        <v>45296</v>
      </c>
      <c r="C14" s="22">
        <v>31400</v>
      </c>
    </row>
    <row r="15" spans="1:24" ht="15.75" thickBot="1" x14ac:dyDescent="0.3">
      <c r="A15" s="23" t="s">
        <v>98</v>
      </c>
      <c r="B15" s="33">
        <v>45299</v>
      </c>
      <c r="C15" s="23">
        <v>32700</v>
      </c>
    </row>
    <row r="16" spans="1:24" ht="15.75" thickBot="1" x14ac:dyDescent="0.3">
      <c r="A16" s="22" t="s">
        <v>99</v>
      </c>
      <c r="B16" s="32">
        <v>45301</v>
      </c>
      <c r="C16" s="22">
        <v>34000</v>
      </c>
    </row>
    <row r="17" spans="1:3" ht="15.75" thickBot="1" x14ac:dyDescent="0.3">
      <c r="A17" s="22" t="s">
        <v>100</v>
      </c>
      <c r="B17" s="32">
        <v>45292</v>
      </c>
      <c r="C17" s="22">
        <v>35300</v>
      </c>
    </row>
    <row r="18" spans="1:3" ht="15.75" thickBot="1" x14ac:dyDescent="0.3">
      <c r="A18" s="23" t="s">
        <v>101</v>
      </c>
      <c r="B18" s="33">
        <v>45294</v>
      </c>
      <c r="C18" s="23">
        <v>36600</v>
      </c>
    </row>
    <row r="19" spans="1:3" ht="15.75" thickBot="1" x14ac:dyDescent="0.3">
      <c r="A19" s="22" t="s">
        <v>102</v>
      </c>
      <c r="B19" s="32">
        <v>45296</v>
      </c>
      <c r="C19" s="22">
        <v>37900</v>
      </c>
    </row>
    <row r="20" spans="1:3" ht="15.75" thickBot="1" x14ac:dyDescent="0.3">
      <c r="A20" s="23" t="s">
        <v>103</v>
      </c>
      <c r="B20" s="32">
        <v>45297</v>
      </c>
      <c r="C20" s="23">
        <v>39200</v>
      </c>
    </row>
    <row r="21" spans="1:3" x14ac:dyDescent="0.25">
      <c r="B21" t="s">
        <v>82</v>
      </c>
      <c r="C21" s="34">
        <f>SUM(C2:C20)</f>
        <v>522500</v>
      </c>
    </row>
    <row r="22" spans="1:3" x14ac:dyDescent="0.25">
      <c r="A22" s="35"/>
      <c r="B22" s="35" t="s">
        <v>105</v>
      </c>
      <c r="C22" s="36">
        <f>AVERAGE(C2:C20)</f>
        <v>27500</v>
      </c>
    </row>
    <row r="23" spans="1:3" x14ac:dyDescent="0.25">
      <c r="B23" t="s">
        <v>106</v>
      </c>
      <c r="C23" s="34">
        <f>MIN(C2:C20)</f>
        <v>8000</v>
      </c>
    </row>
    <row r="24" spans="1:3" x14ac:dyDescent="0.25">
      <c r="B24" t="s">
        <v>107</v>
      </c>
      <c r="C24" s="34">
        <f>MAX(C2:C20)</f>
        <v>39200</v>
      </c>
    </row>
  </sheetData>
  <autoFilter ref="A1:C20" xr:uid="{026C39ED-ADA4-4270-B72D-CB7FAC45AEFE}"/>
  <mergeCells count="1">
    <mergeCell ref="U4:X8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9D09-C457-43EE-805D-B8E0D7CA8F5D}">
  <dimension ref="A1:Z21"/>
  <sheetViews>
    <sheetView workbookViewId="0">
      <selection activeCell="B23" sqref="B23"/>
    </sheetView>
  </sheetViews>
  <sheetFormatPr defaultRowHeight="15" x14ac:dyDescent="0.25"/>
  <cols>
    <col min="2" max="2" width="8.42578125" bestFit="1" customWidth="1"/>
    <col min="3" max="4" width="13.28515625" bestFit="1" customWidth="1"/>
  </cols>
  <sheetData>
    <row r="1" spans="1:26" ht="29.25" thickBot="1" x14ac:dyDescent="0.3">
      <c r="A1" s="21" t="s">
        <v>108</v>
      </c>
      <c r="B1" s="21" t="s">
        <v>2</v>
      </c>
      <c r="C1" s="21" t="s">
        <v>3</v>
      </c>
    </row>
    <row r="2" spans="1:26" ht="15.75" thickBot="1" x14ac:dyDescent="0.3">
      <c r="A2" s="40" t="s">
        <v>112</v>
      </c>
      <c r="B2" s="40" t="s">
        <v>13</v>
      </c>
      <c r="C2" s="41">
        <v>42000</v>
      </c>
      <c r="D2" s="37">
        <f>SUM(C2:C7)</f>
        <v>231733.33333333337</v>
      </c>
    </row>
    <row r="3" spans="1:26" ht="15.75" thickBot="1" x14ac:dyDescent="0.3">
      <c r="A3" s="40" t="s">
        <v>114</v>
      </c>
      <c r="B3" s="40" t="s">
        <v>13</v>
      </c>
      <c r="C3" s="41">
        <v>38000</v>
      </c>
    </row>
    <row r="4" spans="1:26" ht="15.75" thickBot="1" x14ac:dyDescent="0.3">
      <c r="A4" s="40" t="s">
        <v>112</v>
      </c>
      <c r="B4" s="40" t="s">
        <v>13</v>
      </c>
      <c r="C4" s="41">
        <v>38276.190476190503</v>
      </c>
      <c r="V4" s="51" t="s">
        <v>115</v>
      </c>
      <c r="W4" s="52"/>
      <c r="X4" s="52"/>
      <c r="Y4" s="52"/>
      <c r="Z4" s="52"/>
    </row>
    <row r="5" spans="1:26" ht="15.75" thickBot="1" x14ac:dyDescent="0.3">
      <c r="A5" s="40" t="s">
        <v>114</v>
      </c>
      <c r="B5" s="40" t="s">
        <v>13</v>
      </c>
      <c r="C5" s="41">
        <v>38104.761904761901</v>
      </c>
      <c r="V5" s="52"/>
      <c r="W5" s="52"/>
      <c r="X5" s="52"/>
      <c r="Y5" s="52"/>
      <c r="Z5" s="52"/>
    </row>
    <row r="6" spans="1:26" ht="15.75" thickBot="1" x14ac:dyDescent="0.3">
      <c r="A6" s="40" t="s">
        <v>112</v>
      </c>
      <c r="B6" s="40" t="s">
        <v>13</v>
      </c>
      <c r="C6" s="41">
        <v>37761.9047619048</v>
      </c>
      <c r="V6" s="52"/>
      <c r="W6" s="52"/>
      <c r="X6" s="52"/>
      <c r="Y6" s="52"/>
      <c r="Z6" s="52"/>
    </row>
    <row r="7" spans="1:26" ht="15.75" thickBot="1" x14ac:dyDescent="0.3">
      <c r="A7" s="40" t="s">
        <v>114</v>
      </c>
      <c r="B7" s="40" t="s">
        <v>13</v>
      </c>
      <c r="C7" s="41">
        <v>37590.476190476198</v>
      </c>
      <c r="V7" s="52"/>
      <c r="W7" s="52"/>
      <c r="X7" s="52"/>
      <c r="Y7" s="52"/>
      <c r="Z7" s="52"/>
    </row>
    <row r="8" spans="1:26" ht="15.75" thickBot="1" x14ac:dyDescent="0.3">
      <c r="A8" s="38" t="s">
        <v>109</v>
      </c>
      <c r="B8" s="38" t="s">
        <v>7</v>
      </c>
      <c r="C8" s="39">
        <v>28000</v>
      </c>
      <c r="D8" s="37">
        <f>SUM(C8:C14)</f>
        <v>247923.8095238095</v>
      </c>
      <c r="V8" s="52"/>
      <c r="W8" s="52"/>
      <c r="X8" s="52"/>
      <c r="Y8" s="52"/>
      <c r="Z8" s="52"/>
    </row>
    <row r="9" spans="1:26" ht="15.75" thickBot="1" x14ac:dyDescent="0.3">
      <c r="A9" s="38" t="s">
        <v>113</v>
      </c>
      <c r="B9" s="38" t="s">
        <v>7</v>
      </c>
      <c r="C9" s="39">
        <v>30000</v>
      </c>
      <c r="V9" s="52"/>
      <c r="W9" s="52"/>
      <c r="X9" s="52"/>
      <c r="Y9" s="52"/>
      <c r="Z9" s="52"/>
    </row>
    <row r="10" spans="1:26" ht="15.75" thickBot="1" x14ac:dyDescent="0.3">
      <c r="A10" s="38" t="s">
        <v>109</v>
      </c>
      <c r="B10" s="38" t="s">
        <v>7</v>
      </c>
      <c r="C10" s="39">
        <v>38533.333333333299</v>
      </c>
      <c r="V10" s="52"/>
      <c r="W10" s="52"/>
      <c r="X10" s="52"/>
      <c r="Y10" s="52"/>
      <c r="Z10" s="52"/>
    </row>
    <row r="11" spans="1:26" ht="15.75" thickBot="1" x14ac:dyDescent="0.3">
      <c r="A11" s="38" t="s">
        <v>113</v>
      </c>
      <c r="B11" s="38" t="s">
        <v>7</v>
      </c>
      <c r="C11" s="39">
        <v>38190.476190476198</v>
      </c>
      <c r="V11" s="52"/>
      <c r="W11" s="52"/>
      <c r="X11" s="52"/>
      <c r="Y11" s="52"/>
      <c r="Z11" s="52"/>
    </row>
    <row r="12" spans="1:26" ht="15.75" thickBot="1" x14ac:dyDescent="0.3">
      <c r="A12" s="38" t="s">
        <v>109</v>
      </c>
      <c r="B12" s="38" t="s">
        <v>7</v>
      </c>
      <c r="C12" s="39">
        <v>38019.047619047597</v>
      </c>
    </row>
    <row r="13" spans="1:26" ht="15.75" thickBot="1" x14ac:dyDescent="0.3">
      <c r="A13" s="38" t="s">
        <v>113</v>
      </c>
      <c r="B13" s="38" t="s">
        <v>7</v>
      </c>
      <c r="C13" s="39">
        <v>37676.190476190503</v>
      </c>
    </row>
    <row r="14" spans="1:26" ht="15.75" thickBot="1" x14ac:dyDescent="0.3">
      <c r="A14" s="38" t="s">
        <v>109</v>
      </c>
      <c r="B14" s="38" t="s">
        <v>7</v>
      </c>
      <c r="C14" s="39">
        <v>37504.761904761901</v>
      </c>
    </row>
    <row r="15" spans="1:26" ht="15.75" thickBot="1" x14ac:dyDescent="0.3">
      <c r="A15" s="40" t="s">
        <v>110</v>
      </c>
      <c r="B15" s="40" t="s">
        <v>10</v>
      </c>
      <c r="C15" s="41">
        <v>45000</v>
      </c>
      <c r="D15" s="37">
        <f>SUM(C15:C20)</f>
        <v>247590.47619047633</v>
      </c>
    </row>
    <row r="16" spans="1:26" ht="15.75" thickBot="1" x14ac:dyDescent="0.3">
      <c r="A16" s="38" t="s">
        <v>111</v>
      </c>
      <c r="B16" s="38" t="s">
        <v>10</v>
      </c>
      <c r="C16" s="39">
        <v>50000</v>
      </c>
    </row>
    <row r="17" spans="1:3" ht="15.75" thickBot="1" x14ac:dyDescent="0.3">
      <c r="A17" s="40" t="s">
        <v>110</v>
      </c>
      <c r="B17" s="40" t="s">
        <v>10</v>
      </c>
      <c r="C17" s="41">
        <v>38447.619047619097</v>
      </c>
    </row>
    <row r="18" spans="1:3" ht="15.75" thickBot="1" x14ac:dyDescent="0.3">
      <c r="A18" s="38" t="s">
        <v>111</v>
      </c>
      <c r="B18" s="38" t="s">
        <v>10</v>
      </c>
      <c r="C18" s="39">
        <v>38361.9047619048</v>
      </c>
    </row>
    <row r="19" spans="1:3" ht="15.75" thickBot="1" x14ac:dyDescent="0.3">
      <c r="A19" s="40" t="s">
        <v>110</v>
      </c>
      <c r="B19" s="40" t="s">
        <v>10</v>
      </c>
      <c r="C19" s="41">
        <v>37933.333333333299</v>
      </c>
    </row>
    <row r="20" spans="1:3" x14ac:dyDescent="0.25">
      <c r="A20" s="42" t="s">
        <v>111</v>
      </c>
      <c r="B20" s="44" t="s">
        <v>10</v>
      </c>
      <c r="C20" s="45">
        <v>37847.619047619097</v>
      </c>
    </row>
    <row r="21" spans="1:3" x14ac:dyDescent="0.25">
      <c r="A21" s="34">
        <f>COUNTA(A2:A20)</f>
        <v>19</v>
      </c>
      <c r="B21" s="43" t="s">
        <v>116</v>
      </c>
      <c r="C21" s="37">
        <f>AVERAGE(C2:C20)</f>
        <v>38276.190476190473</v>
      </c>
    </row>
  </sheetData>
  <sortState xmlns:xlrd2="http://schemas.microsoft.com/office/spreadsheetml/2017/richdata2" ref="A2:C21">
    <sortCondition ref="B2:B21"/>
  </sortState>
  <mergeCells count="1">
    <mergeCell ref="V4:Z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F6E7-ACFD-4A3C-8153-1EC771D5598C}">
  <dimension ref="A1:Y23"/>
  <sheetViews>
    <sheetView workbookViewId="0">
      <selection activeCell="A30" sqref="A30:XFD30"/>
    </sheetView>
  </sheetViews>
  <sheetFormatPr defaultRowHeight="15" x14ac:dyDescent="0.25"/>
  <cols>
    <col min="1" max="1" width="8.28515625" bestFit="1" customWidth="1"/>
    <col min="2" max="2" width="13.85546875" bestFit="1" customWidth="1"/>
  </cols>
  <sheetData>
    <row r="1" spans="1:25" ht="29.25" thickBot="1" x14ac:dyDescent="0.3">
      <c r="A1" s="21" t="s">
        <v>72</v>
      </c>
      <c r="B1" s="21" t="s">
        <v>117</v>
      </c>
      <c r="C1" s="21" t="s">
        <v>118</v>
      </c>
      <c r="D1" s="21" t="s">
        <v>119</v>
      </c>
      <c r="E1" s="21" t="s">
        <v>120</v>
      </c>
      <c r="F1" s="21" t="s">
        <v>121</v>
      </c>
    </row>
    <row r="2" spans="1:25" ht="15.75" thickBot="1" x14ac:dyDescent="0.3">
      <c r="A2" s="22" t="s">
        <v>77</v>
      </c>
      <c r="B2" s="22" t="s">
        <v>122</v>
      </c>
      <c r="C2" s="22" t="s">
        <v>46</v>
      </c>
      <c r="D2" s="22" t="s">
        <v>122</v>
      </c>
      <c r="E2" s="22" t="s">
        <v>122</v>
      </c>
      <c r="F2" s="22" t="s">
        <v>122</v>
      </c>
    </row>
    <row r="3" spans="1:25" ht="15.75" thickBot="1" x14ac:dyDescent="0.3">
      <c r="A3" s="23" t="s">
        <v>78</v>
      </c>
      <c r="B3" s="23" t="s">
        <v>122</v>
      </c>
      <c r="C3" s="23" t="s">
        <v>122</v>
      </c>
      <c r="D3" s="23" t="s">
        <v>122</v>
      </c>
      <c r="E3" s="23" t="s">
        <v>46</v>
      </c>
      <c r="F3" s="23" t="s">
        <v>122</v>
      </c>
    </row>
    <row r="4" spans="1:25" ht="15.75" thickBot="1" x14ac:dyDescent="0.3">
      <c r="A4" s="22" t="s">
        <v>79</v>
      </c>
      <c r="B4" s="22" t="s">
        <v>46</v>
      </c>
      <c r="C4" s="22" t="s">
        <v>122</v>
      </c>
      <c r="D4" s="22" t="s">
        <v>122</v>
      </c>
      <c r="E4" s="22" t="s">
        <v>122</v>
      </c>
      <c r="F4" s="22" t="s">
        <v>122</v>
      </c>
    </row>
    <row r="5" spans="1:25" ht="15.75" thickBot="1" x14ac:dyDescent="0.3">
      <c r="A5" s="23" t="s">
        <v>80</v>
      </c>
      <c r="B5" s="23" t="s">
        <v>122</v>
      </c>
      <c r="C5" s="23" t="s">
        <v>46</v>
      </c>
      <c r="D5" s="23" t="s">
        <v>46</v>
      </c>
      <c r="E5" s="23" t="s">
        <v>122</v>
      </c>
      <c r="F5" s="23" t="s">
        <v>46</v>
      </c>
    </row>
    <row r="6" spans="1:25" ht="15.75" thickBot="1" x14ac:dyDescent="0.3">
      <c r="A6" s="22" t="s">
        <v>77</v>
      </c>
      <c r="B6" s="22" t="s">
        <v>122</v>
      </c>
      <c r="C6" s="22" t="s">
        <v>46</v>
      </c>
      <c r="D6" s="22" t="s">
        <v>122</v>
      </c>
      <c r="E6" s="22" t="s">
        <v>122</v>
      </c>
      <c r="F6" s="22" t="s">
        <v>122</v>
      </c>
    </row>
    <row r="7" spans="1:25" ht="15.75" thickBot="1" x14ac:dyDescent="0.3">
      <c r="A7" s="23" t="s">
        <v>78</v>
      </c>
      <c r="B7" s="23" t="s">
        <v>122</v>
      </c>
      <c r="C7" s="23" t="s">
        <v>122</v>
      </c>
      <c r="D7" s="23" t="s">
        <v>122</v>
      </c>
      <c r="E7" s="23" t="s">
        <v>46</v>
      </c>
      <c r="F7" s="23" t="s">
        <v>122</v>
      </c>
    </row>
    <row r="8" spans="1:25" ht="15.75" thickBot="1" x14ac:dyDescent="0.3">
      <c r="A8" s="22" t="s">
        <v>79</v>
      </c>
      <c r="B8" s="22" t="s">
        <v>46</v>
      </c>
      <c r="C8" s="22" t="s">
        <v>122</v>
      </c>
      <c r="D8" s="22" t="s">
        <v>122</v>
      </c>
      <c r="E8" s="22" t="s">
        <v>122</v>
      </c>
      <c r="F8" s="22" t="s">
        <v>122</v>
      </c>
    </row>
    <row r="9" spans="1:25" ht="18" customHeight="1" thickBot="1" x14ac:dyDescent="0.3">
      <c r="A9" s="23" t="s">
        <v>80</v>
      </c>
      <c r="B9" s="23" t="s">
        <v>122</v>
      </c>
      <c r="C9" s="23" t="s">
        <v>46</v>
      </c>
      <c r="D9" s="23" t="s">
        <v>46</v>
      </c>
      <c r="E9" s="23" t="s">
        <v>122</v>
      </c>
      <c r="F9" s="23" t="s">
        <v>46</v>
      </c>
      <c r="W9" s="54" t="s">
        <v>123</v>
      </c>
      <c r="X9" s="54"/>
      <c r="Y9" s="54"/>
    </row>
    <row r="10" spans="1:25" ht="18" customHeight="1" thickBot="1" x14ac:dyDescent="0.3">
      <c r="A10" s="22" t="s">
        <v>77</v>
      </c>
      <c r="B10" s="22" t="s">
        <v>122</v>
      </c>
      <c r="C10" s="22" t="s">
        <v>46</v>
      </c>
      <c r="D10" s="22" t="s">
        <v>122</v>
      </c>
      <c r="E10" s="22" t="s">
        <v>122</v>
      </c>
      <c r="F10" s="22" t="s">
        <v>122</v>
      </c>
      <c r="W10" s="54"/>
      <c r="X10" s="54"/>
      <c r="Y10" s="54"/>
    </row>
    <row r="11" spans="1:25" ht="15.75" thickBot="1" x14ac:dyDescent="0.3">
      <c r="A11" s="23" t="s">
        <v>78</v>
      </c>
      <c r="B11" s="23" t="s">
        <v>122</v>
      </c>
      <c r="C11" s="23" t="s">
        <v>122</v>
      </c>
      <c r="D11" s="23" t="s">
        <v>122</v>
      </c>
      <c r="E11" s="23" t="s">
        <v>46</v>
      </c>
      <c r="F11" s="23" t="s">
        <v>122</v>
      </c>
      <c r="W11" s="54"/>
      <c r="X11" s="54"/>
      <c r="Y11" s="54"/>
    </row>
    <row r="12" spans="1:25" ht="15.75" thickBot="1" x14ac:dyDescent="0.3">
      <c r="A12" s="22" t="s">
        <v>79</v>
      </c>
      <c r="B12" s="22" t="s">
        <v>46</v>
      </c>
      <c r="C12" s="22" t="s">
        <v>122</v>
      </c>
      <c r="D12" s="22" t="s">
        <v>122</v>
      </c>
      <c r="E12" s="22" t="s">
        <v>122</v>
      </c>
      <c r="F12" s="22" t="s">
        <v>122</v>
      </c>
      <c r="W12" s="54"/>
      <c r="X12" s="54"/>
      <c r="Y12" s="54"/>
    </row>
    <row r="13" spans="1:25" ht="15.75" thickBot="1" x14ac:dyDescent="0.3">
      <c r="A13" s="23" t="s">
        <v>80</v>
      </c>
      <c r="B13" s="23" t="s">
        <v>122</v>
      </c>
      <c r="C13" s="23" t="s">
        <v>46</v>
      </c>
      <c r="D13" s="23" t="s">
        <v>46</v>
      </c>
      <c r="E13" s="23" t="s">
        <v>122</v>
      </c>
      <c r="F13" s="23" t="s">
        <v>46</v>
      </c>
    </row>
    <row r="14" spans="1:25" ht="15.75" thickBot="1" x14ac:dyDescent="0.3">
      <c r="A14" s="22" t="s">
        <v>77</v>
      </c>
      <c r="B14" s="22" t="s">
        <v>122</v>
      </c>
      <c r="C14" s="22" t="s">
        <v>46</v>
      </c>
      <c r="D14" s="22" t="s">
        <v>122</v>
      </c>
      <c r="E14" s="22" t="s">
        <v>122</v>
      </c>
      <c r="F14" s="22" t="s">
        <v>122</v>
      </c>
    </row>
    <row r="15" spans="1:25" ht="15.75" thickBot="1" x14ac:dyDescent="0.3">
      <c r="A15" s="23" t="s">
        <v>78</v>
      </c>
      <c r="B15" s="23" t="s">
        <v>122</v>
      </c>
      <c r="C15" s="23" t="s">
        <v>122</v>
      </c>
      <c r="D15" s="23" t="s">
        <v>122</v>
      </c>
      <c r="E15" s="23" t="s">
        <v>46</v>
      </c>
      <c r="F15" s="23" t="s">
        <v>122</v>
      </c>
    </row>
    <row r="16" spans="1:25" ht="15.75" thickBot="1" x14ac:dyDescent="0.3">
      <c r="A16" s="22" t="s">
        <v>79</v>
      </c>
      <c r="B16" s="22" t="s">
        <v>46</v>
      </c>
      <c r="C16" s="22" t="s">
        <v>122</v>
      </c>
      <c r="D16" s="22" t="s">
        <v>122</v>
      </c>
      <c r="E16" s="22" t="s">
        <v>122</v>
      </c>
      <c r="F16" s="22" t="s">
        <v>122</v>
      </c>
    </row>
    <row r="17" spans="1:6" ht="15.75" thickBot="1" x14ac:dyDescent="0.3">
      <c r="A17" s="23" t="s">
        <v>80</v>
      </c>
      <c r="B17" s="23" t="s">
        <v>122</v>
      </c>
      <c r="C17" s="23" t="s">
        <v>46</v>
      </c>
      <c r="D17" s="23" t="s">
        <v>46</v>
      </c>
      <c r="E17" s="23" t="s">
        <v>122</v>
      </c>
      <c r="F17" s="23" t="s">
        <v>46</v>
      </c>
    </row>
    <row r="18" spans="1:6" ht="15.75" thickBot="1" x14ac:dyDescent="0.3">
      <c r="A18" s="22" t="s">
        <v>77</v>
      </c>
      <c r="B18" s="22" t="s">
        <v>122</v>
      </c>
      <c r="C18" s="22" t="s">
        <v>46</v>
      </c>
      <c r="D18" s="22" t="s">
        <v>122</v>
      </c>
      <c r="E18" s="22" t="s">
        <v>122</v>
      </c>
      <c r="F18" s="22" t="s">
        <v>122</v>
      </c>
    </row>
    <row r="19" spans="1:6" ht="15.75" thickBot="1" x14ac:dyDescent="0.3">
      <c r="A19" s="23" t="s">
        <v>78</v>
      </c>
      <c r="B19" s="23" t="s">
        <v>122</v>
      </c>
      <c r="C19" s="23" t="s">
        <v>122</v>
      </c>
      <c r="D19" s="23" t="s">
        <v>122</v>
      </c>
      <c r="E19" s="23" t="s">
        <v>46</v>
      </c>
      <c r="F19" s="23" t="s">
        <v>122</v>
      </c>
    </row>
    <row r="20" spans="1:6" ht="15.75" thickBot="1" x14ac:dyDescent="0.3">
      <c r="A20" s="22" t="s">
        <v>79</v>
      </c>
      <c r="B20" s="22" t="s">
        <v>46</v>
      </c>
      <c r="C20" s="22" t="s">
        <v>122</v>
      </c>
      <c r="D20" s="22" t="s">
        <v>122</v>
      </c>
      <c r="E20" s="22" t="s">
        <v>122</v>
      </c>
      <c r="F20" s="22" t="s">
        <v>122</v>
      </c>
    </row>
    <row r="22" spans="1:6" x14ac:dyDescent="0.25">
      <c r="B22" s="56" t="s">
        <v>125</v>
      </c>
      <c r="C22" s="55">
        <f>COUNTIF(B2:F20,"P")</f>
        <v>68</v>
      </c>
    </row>
    <row r="23" spans="1:6" x14ac:dyDescent="0.25">
      <c r="B23" s="56" t="s">
        <v>124</v>
      </c>
      <c r="C23" s="55">
        <f>COUNTIF(B2:F20,"A")</f>
        <v>27</v>
      </c>
    </row>
  </sheetData>
  <mergeCells count="1">
    <mergeCell ref="W9:Y1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0D41-3783-4667-BE49-7297F7E37617}">
  <dimension ref="A1:Z23"/>
  <sheetViews>
    <sheetView workbookViewId="0">
      <selection activeCell="I11" sqref="I11"/>
    </sheetView>
  </sheetViews>
  <sheetFormatPr defaultRowHeight="15" x14ac:dyDescent="0.25"/>
  <cols>
    <col min="1" max="1" width="12.5703125" bestFit="1" customWidth="1"/>
  </cols>
  <sheetData>
    <row r="1" spans="1:26" ht="52.5" thickBot="1" x14ac:dyDescent="0.3">
      <c r="A1" s="57" t="s">
        <v>126</v>
      </c>
      <c r="B1" s="57" t="s">
        <v>51</v>
      </c>
    </row>
    <row r="2" spans="1:26" ht="18" thickBot="1" x14ac:dyDescent="0.3">
      <c r="A2" s="58" t="s">
        <v>127</v>
      </c>
      <c r="B2" s="58">
        <v>4500</v>
      </c>
    </row>
    <row r="3" spans="1:26" ht="18" thickBot="1" x14ac:dyDescent="0.3">
      <c r="A3" s="59" t="s">
        <v>128</v>
      </c>
      <c r="B3" s="59">
        <v>12000</v>
      </c>
    </row>
    <row r="4" spans="1:26" ht="18" thickBot="1" x14ac:dyDescent="0.3">
      <c r="A4" s="58" t="s">
        <v>129</v>
      </c>
      <c r="B4" s="58">
        <v>8000</v>
      </c>
    </row>
    <row r="5" spans="1:26" ht="18" thickBot="1" x14ac:dyDescent="0.3">
      <c r="A5" s="59" t="s">
        <v>130</v>
      </c>
      <c r="B5" s="59">
        <v>25000</v>
      </c>
    </row>
    <row r="6" spans="1:26" ht="18" thickBot="1" x14ac:dyDescent="0.3">
      <c r="A6" s="58" t="s">
        <v>131</v>
      </c>
      <c r="B6" s="58">
        <v>3000</v>
      </c>
    </row>
    <row r="7" spans="1:26" ht="18" thickBot="1" x14ac:dyDescent="0.3">
      <c r="A7" s="59" t="s">
        <v>132</v>
      </c>
      <c r="B7" s="59">
        <v>15000</v>
      </c>
      <c r="W7" s="51" t="s">
        <v>133</v>
      </c>
      <c r="X7" s="52"/>
      <c r="Y7" s="52"/>
      <c r="Z7" s="52"/>
    </row>
    <row r="8" spans="1:26" ht="18" thickBot="1" x14ac:dyDescent="0.3">
      <c r="A8" s="58" t="s">
        <v>134</v>
      </c>
      <c r="B8" s="58">
        <v>15500</v>
      </c>
      <c r="W8" s="52"/>
      <c r="X8" s="52"/>
      <c r="Y8" s="52"/>
      <c r="Z8" s="52"/>
    </row>
    <row r="9" spans="1:26" ht="18" thickBot="1" x14ac:dyDescent="0.3">
      <c r="A9" s="59" t="s">
        <v>135</v>
      </c>
      <c r="B9" s="59">
        <v>16714.285714285699</v>
      </c>
      <c r="W9" s="52"/>
      <c r="X9" s="52"/>
      <c r="Y9" s="52"/>
      <c r="Z9" s="52"/>
    </row>
    <row r="10" spans="1:26" ht="18" thickBot="1" x14ac:dyDescent="0.3">
      <c r="A10" s="58" t="s">
        <v>136</v>
      </c>
      <c r="B10" s="58">
        <v>17928.571428571398</v>
      </c>
      <c r="W10" s="52"/>
      <c r="X10" s="52"/>
      <c r="Y10" s="52"/>
      <c r="Z10" s="52"/>
    </row>
    <row r="11" spans="1:26" ht="18" thickBot="1" x14ac:dyDescent="0.3">
      <c r="A11" s="59" t="s">
        <v>137</v>
      </c>
      <c r="B11" s="59">
        <v>19142.857142857101</v>
      </c>
      <c r="W11" s="52"/>
      <c r="X11" s="52"/>
      <c r="Y11" s="52"/>
      <c r="Z11" s="52"/>
    </row>
    <row r="12" spans="1:26" ht="18" thickBot="1" x14ac:dyDescent="0.3">
      <c r="A12" s="58" t="s">
        <v>138</v>
      </c>
      <c r="B12" s="58">
        <v>20357.1428571428</v>
      </c>
      <c r="W12" s="52"/>
      <c r="X12" s="52"/>
      <c r="Y12" s="52"/>
      <c r="Z12" s="52"/>
    </row>
    <row r="13" spans="1:26" ht="18" thickBot="1" x14ac:dyDescent="0.3">
      <c r="A13" s="59" t="s">
        <v>139</v>
      </c>
      <c r="B13" s="59">
        <v>21571.428571428602</v>
      </c>
      <c r="W13" s="52"/>
      <c r="X13" s="52"/>
      <c r="Y13" s="52"/>
      <c r="Z13" s="52"/>
    </row>
    <row r="14" spans="1:26" ht="18" thickBot="1" x14ac:dyDescent="0.3">
      <c r="A14" s="58" t="s">
        <v>140</v>
      </c>
      <c r="B14" s="58">
        <v>22785.714285714301</v>
      </c>
      <c r="W14" s="52"/>
      <c r="X14" s="52"/>
      <c r="Y14" s="52"/>
      <c r="Z14" s="52"/>
    </row>
    <row r="15" spans="1:26" ht="18" thickBot="1" x14ac:dyDescent="0.3">
      <c r="A15" s="59" t="s">
        <v>141</v>
      </c>
      <c r="B15" s="59">
        <v>24000</v>
      </c>
      <c r="W15" s="52"/>
      <c r="X15" s="52"/>
      <c r="Y15" s="52"/>
      <c r="Z15" s="52"/>
    </row>
    <row r="16" spans="1:26" ht="18" thickBot="1" x14ac:dyDescent="0.3">
      <c r="A16" s="58" t="s">
        <v>142</v>
      </c>
      <c r="B16" s="58">
        <v>25214.285714285699</v>
      </c>
      <c r="W16" s="52"/>
      <c r="X16" s="52"/>
      <c r="Y16" s="52"/>
      <c r="Z16" s="52"/>
    </row>
    <row r="17" spans="1:26" ht="18" thickBot="1" x14ac:dyDescent="0.3">
      <c r="A17" s="59" t="s">
        <v>143</v>
      </c>
      <c r="B17" s="59">
        <v>26428.571428571398</v>
      </c>
      <c r="W17" s="52"/>
      <c r="X17" s="52"/>
      <c r="Y17" s="52"/>
      <c r="Z17" s="52"/>
    </row>
    <row r="18" spans="1:26" ht="18" thickBot="1" x14ac:dyDescent="0.3">
      <c r="A18" s="58" t="s">
        <v>144</v>
      </c>
      <c r="B18" s="58">
        <v>27642.857142857101</v>
      </c>
      <c r="W18" s="52"/>
      <c r="X18" s="52"/>
      <c r="Y18" s="52"/>
      <c r="Z18" s="52"/>
    </row>
    <row r="19" spans="1:26" ht="18" thickBot="1" x14ac:dyDescent="0.3">
      <c r="A19" s="59" t="s">
        <v>145</v>
      </c>
      <c r="B19" s="59">
        <v>28857.1428571428</v>
      </c>
    </row>
    <row r="20" spans="1:26" ht="18" thickBot="1" x14ac:dyDescent="0.3">
      <c r="A20" s="58" t="s">
        <v>146</v>
      </c>
      <c r="B20" s="58">
        <v>30071.428571428602</v>
      </c>
    </row>
    <row r="22" spans="1:26" x14ac:dyDescent="0.25">
      <c r="A22" s="56" t="s">
        <v>147</v>
      </c>
      <c r="B22" s="55">
        <f>COUNTIF(B2:B20,"&gt;10000")</f>
        <v>16</v>
      </c>
    </row>
    <row r="23" spans="1:26" x14ac:dyDescent="0.25">
      <c r="A23" s="56" t="s">
        <v>148</v>
      </c>
      <c r="B23" s="55">
        <f>COUNTIF(B2:B20,"&lt;5000")</f>
        <v>2</v>
      </c>
    </row>
  </sheetData>
  <mergeCells count="1">
    <mergeCell ref="W7:Z18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A5CD-B938-4FE2-9BD1-AF3C8D28C5DC}">
  <dimension ref="A1:Y20"/>
  <sheetViews>
    <sheetView workbookViewId="0">
      <selection activeCell="S10" sqref="S10"/>
    </sheetView>
  </sheetViews>
  <sheetFormatPr defaultRowHeight="15" x14ac:dyDescent="0.25"/>
  <sheetData>
    <row r="1" spans="1:25" ht="29.25" thickBot="1" x14ac:dyDescent="0.3">
      <c r="A1" s="60" t="s">
        <v>149</v>
      </c>
      <c r="B1" s="60" t="s">
        <v>51</v>
      </c>
    </row>
    <row r="2" spans="1:25" ht="15.75" thickBot="1" x14ac:dyDescent="0.3">
      <c r="A2" s="22" t="s">
        <v>150</v>
      </c>
      <c r="B2" s="22">
        <v>22000</v>
      </c>
    </row>
    <row r="3" spans="1:25" ht="29.25" thickBot="1" x14ac:dyDescent="0.3">
      <c r="A3" s="23" t="s">
        <v>151</v>
      </c>
      <c r="B3" s="23">
        <v>3500</v>
      </c>
    </row>
    <row r="4" spans="1:25" ht="15.75" thickBot="1" x14ac:dyDescent="0.3">
      <c r="A4" s="22" t="s">
        <v>152</v>
      </c>
      <c r="B4" s="22">
        <v>58000</v>
      </c>
      <c r="V4" s="51" t="s">
        <v>155</v>
      </c>
      <c r="W4" s="52"/>
      <c r="X4" s="52"/>
      <c r="Y4" s="52"/>
    </row>
    <row r="5" spans="1:25" ht="29.25" thickBot="1" x14ac:dyDescent="0.3">
      <c r="A5" s="23" t="s">
        <v>153</v>
      </c>
      <c r="B5" s="23">
        <v>1800</v>
      </c>
      <c r="V5" s="52"/>
      <c r="W5" s="52"/>
      <c r="X5" s="52"/>
      <c r="Y5" s="52"/>
    </row>
    <row r="6" spans="1:25" ht="15.75" thickBot="1" x14ac:dyDescent="0.3">
      <c r="A6" s="22" t="s">
        <v>154</v>
      </c>
      <c r="B6" s="22">
        <v>12000</v>
      </c>
      <c r="V6" s="52"/>
      <c r="W6" s="52"/>
      <c r="X6" s="52"/>
      <c r="Y6" s="52"/>
    </row>
    <row r="7" spans="1:25" ht="15.75" thickBot="1" x14ac:dyDescent="0.3">
      <c r="A7" s="22" t="s">
        <v>150</v>
      </c>
      <c r="B7" s="22">
        <v>12950</v>
      </c>
      <c r="V7" s="52"/>
      <c r="W7" s="52"/>
      <c r="X7" s="52"/>
      <c r="Y7" s="52"/>
    </row>
    <row r="8" spans="1:25" ht="29.25" thickBot="1" x14ac:dyDescent="0.3">
      <c r="A8" s="23" t="s">
        <v>151</v>
      </c>
      <c r="B8" s="23">
        <v>10780</v>
      </c>
      <c r="V8" s="52"/>
      <c r="W8" s="52"/>
      <c r="X8" s="52"/>
      <c r="Y8" s="52"/>
    </row>
    <row r="9" spans="1:25" ht="15.75" thickBot="1" x14ac:dyDescent="0.3">
      <c r="A9" s="22" t="s">
        <v>152</v>
      </c>
      <c r="B9" s="22">
        <v>8610</v>
      </c>
      <c r="V9" s="52"/>
      <c r="W9" s="52"/>
      <c r="X9" s="52"/>
      <c r="Y9" s="52"/>
    </row>
    <row r="10" spans="1:25" ht="29.25" thickBot="1" x14ac:dyDescent="0.3">
      <c r="A10" s="23" t="s">
        <v>153</v>
      </c>
      <c r="B10" s="23">
        <v>6440</v>
      </c>
      <c r="V10" s="52"/>
      <c r="W10" s="52"/>
      <c r="X10" s="52"/>
      <c r="Y10" s="52"/>
    </row>
    <row r="11" spans="1:25" ht="15.75" thickBot="1" x14ac:dyDescent="0.3">
      <c r="A11" s="22" t="s">
        <v>154</v>
      </c>
      <c r="B11" s="22">
        <v>4270</v>
      </c>
      <c r="V11" s="52"/>
      <c r="W11" s="52"/>
      <c r="X11" s="52"/>
      <c r="Y11" s="52"/>
    </row>
    <row r="12" spans="1:25" ht="15.75" thickBot="1" x14ac:dyDescent="0.3">
      <c r="A12" s="22" t="s">
        <v>150</v>
      </c>
      <c r="B12" s="22">
        <v>2100</v>
      </c>
      <c r="V12" s="52"/>
      <c r="W12" s="52"/>
      <c r="X12" s="52"/>
      <c r="Y12" s="52"/>
    </row>
    <row r="13" spans="1:25" ht="29.25" thickBot="1" x14ac:dyDescent="0.3">
      <c r="A13" s="23" t="s">
        <v>151</v>
      </c>
      <c r="B13" s="23">
        <v>-70</v>
      </c>
      <c r="V13" s="52"/>
      <c r="W13" s="52"/>
      <c r="X13" s="52"/>
      <c r="Y13" s="52"/>
    </row>
    <row r="14" spans="1:25" ht="15.75" thickBot="1" x14ac:dyDescent="0.3">
      <c r="A14" s="22" t="s">
        <v>152</v>
      </c>
      <c r="B14" s="22">
        <v>-2240</v>
      </c>
      <c r="V14" s="52"/>
      <c r="W14" s="52"/>
      <c r="X14" s="52"/>
      <c r="Y14" s="52"/>
    </row>
    <row r="15" spans="1:25" ht="29.25" thickBot="1" x14ac:dyDescent="0.3">
      <c r="A15" s="23" t="s">
        <v>153</v>
      </c>
      <c r="B15" s="23">
        <v>-4410</v>
      </c>
      <c r="V15" s="52"/>
      <c r="W15" s="52"/>
      <c r="X15" s="52"/>
      <c r="Y15" s="52"/>
    </row>
    <row r="16" spans="1:25" ht="15.75" thickBot="1" x14ac:dyDescent="0.3">
      <c r="A16" s="22" t="s">
        <v>154</v>
      </c>
      <c r="B16" s="22">
        <v>-6580</v>
      </c>
    </row>
    <row r="17" spans="1:2" ht="15.75" thickBot="1" x14ac:dyDescent="0.3">
      <c r="A17" s="22" t="s">
        <v>150</v>
      </c>
      <c r="B17" s="22">
        <v>-8750</v>
      </c>
    </row>
    <row r="18" spans="1:2" ht="29.25" thickBot="1" x14ac:dyDescent="0.3">
      <c r="A18" s="23" t="s">
        <v>151</v>
      </c>
      <c r="B18" s="23">
        <v>-10920</v>
      </c>
    </row>
    <row r="19" spans="1:2" ht="15.75" thickBot="1" x14ac:dyDescent="0.3">
      <c r="A19" s="22" t="s">
        <v>152</v>
      </c>
      <c r="B19" s="22">
        <v>-13090</v>
      </c>
    </row>
    <row r="20" spans="1:2" ht="29.25" thickBot="1" x14ac:dyDescent="0.3">
      <c r="A20" s="23" t="s">
        <v>153</v>
      </c>
      <c r="B20" s="23">
        <v>-15260</v>
      </c>
    </row>
  </sheetData>
  <mergeCells count="1">
    <mergeCell ref="V4:Y15"/>
  </mergeCells>
  <conditionalFormatting sqref="B2:B20">
    <cfRule type="cellIs" dxfId="12" priority="1" operator="lessThan">
      <formula>5000</formula>
    </cfRule>
    <cfRule type="cellIs" dxfId="11" priority="2" operator="greaterThan">
      <formula>20000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B7EA-4EF3-4CF9-AD64-51C16B95DC33}">
  <dimension ref="A1:X20"/>
  <sheetViews>
    <sheetView workbookViewId="0">
      <selection activeCell="I14" sqref="I14"/>
    </sheetView>
  </sheetViews>
  <sheetFormatPr defaultRowHeight="15" x14ac:dyDescent="0.25"/>
  <sheetData>
    <row r="1" spans="1:24" ht="35.25" thickBot="1" x14ac:dyDescent="0.3">
      <c r="A1" s="57" t="s">
        <v>71</v>
      </c>
      <c r="B1" s="57" t="s">
        <v>1</v>
      </c>
      <c r="C1" s="57" t="s">
        <v>156</v>
      </c>
    </row>
    <row r="2" spans="1:24" ht="18" thickBot="1" x14ac:dyDescent="0.3">
      <c r="A2" s="61">
        <v>1</v>
      </c>
      <c r="B2" s="61" t="s">
        <v>113</v>
      </c>
      <c r="C2" s="61">
        <v>85</v>
      </c>
    </row>
    <row r="3" spans="1:24" ht="18" thickBot="1" x14ac:dyDescent="0.3">
      <c r="A3" s="62">
        <v>2</v>
      </c>
      <c r="B3" s="62" t="s">
        <v>157</v>
      </c>
      <c r="C3" s="62">
        <v>72</v>
      </c>
    </row>
    <row r="4" spans="1:24" ht="18" thickBot="1" x14ac:dyDescent="0.3">
      <c r="A4" s="61">
        <v>3</v>
      </c>
      <c r="B4" s="61" t="s">
        <v>158</v>
      </c>
      <c r="C4" s="61">
        <v>39</v>
      </c>
    </row>
    <row r="5" spans="1:24" ht="18" thickBot="1" x14ac:dyDescent="0.3">
      <c r="A5" s="62">
        <v>4</v>
      </c>
      <c r="B5" s="62" t="s">
        <v>159</v>
      </c>
      <c r="C5" s="62">
        <v>91</v>
      </c>
    </row>
    <row r="6" spans="1:24" ht="18" thickBot="1" x14ac:dyDescent="0.3">
      <c r="A6" s="61">
        <v>5</v>
      </c>
      <c r="B6" s="61" t="s">
        <v>160</v>
      </c>
      <c r="C6" s="61">
        <v>28</v>
      </c>
    </row>
    <row r="7" spans="1:24" ht="18" thickBot="1" x14ac:dyDescent="0.3">
      <c r="A7" s="61">
        <v>6</v>
      </c>
      <c r="B7" s="61" t="s">
        <v>113</v>
      </c>
      <c r="C7" s="20">
        <v>83</v>
      </c>
    </row>
    <row r="8" spans="1:24" ht="18" thickBot="1" x14ac:dyDescent="0.3">
      <c r="A8" s="62">
        <v>7</v>
      </c>
      <c r="B8" s="62" t="s">
        <v>157</v>
      </c>
      <c r="C8" s="20">
        <v>63</v>
      </c>
      <c r="T8" s="51" t="s">
        <v>161</v>
      </c>
      <c r="U8" s="52"/>
      <c r="V8" s="52"/>
      <c r="W8" s="52"/>
      <c r="X8" s="52"/>
    </row>
    <row r="9" spans="1:24" ht="18" thickBot="1" x14ac:dyDescent="0.3">
      <c r="A9" s="61">
        <v>8</v>
      </c>
      <c r="B9" s="61" t="s">
        <v>158</v>
      </c>
      <c r="C9" s="20">
        <v>64</v>
      </c>
      <c r="T9" s="52"/>
      <c r="U9" s="52"/>
      <c r="V9" s="52"/>
      <c r="W9" s="52"/>
      <c r="X9" s="52"/>
    </row>
    <row r="10" spans="1:24" ht="18" thickBot="1" x14ac:dyDescent="0.3">
      <c r="A10" s="62">
        <v>9</v>
      </c>
      <c r="B10" s="62" t="s">
        <v>159</v>
      </c>
      <c r="C10" s="20">
        <v>40</v>
      </c>
      <c r="T10" s="52"/>
      <c r="U10" s="52"/>
      <c r="V10" s="52"/>
      <c r="W10" s="52"/>
      <c r="X10" s="52"/>
    </row>
    <row r="11" spans="1:24" ht="18" thickBot="1" x14ac:dyDescent="0.3">
      <c r="A11" s="61">
        <v>10</v>
      </c>
      <c r="B11" s="61" t="s">
        <v>160</v>
      </c>
      <c r="C11" s="20">
        <v>87</v>
      </c>
      <c r="T11" s="52"/>
      <c r="U11" s="52"/>
      <c r="V11" s="52"/>
      <c r="W11" s="52"/>
      <c r="X11" s="52"/>
    </row>
    <row r="12" spans="1:24" ht="18" thickBot="1" x14ac:dyDescent="0.3">
      <c r="A12" s="61">
        <v>11</v>
      </c>
      <c r="B12" s="61" t="s">
        <v>113</v>
      </c>
      <c r="C12" s="20">
        <v>73</v>
      </c>
      <c r="T12" s="52"/>
      <c r="U12" s="52"/>
      <c r="V12" s="52"/>
      <c r="W12" s="52"/>
      <c r="X12" s="52"/>
    </row>
    <row r="13" spans="1:24" ht="18" thickBot="1" x14ac:dyDescent="0.3">
      <c r="A13" s="62">
        <v>12</v>
      </c>
      <c r="B13" s="62" t="s">
        <v>157</v>
      </c>
      <c r="C13" s="20">
        <v>71</v>
      </c>
      <c r="T13" s="52"/>
      <c r="U13" s="52"/>
      <c r="V13" s="52"/>
      <c r="W13" s="52"/>
      <c r="X13" s="52"/>
    </row>
    <row r="14" spans="1:24" ht="18" thickBot="1" x14ac:dyDescent="0.3">
      <c r="A14" s="61">
        <v>13</v>
      </c>
      <c r="B14" s="61" t="s">
        <v>158</v>
      </c>
      <c r="C14" s="20">
        <v>67</v>
      </c>
      <c r="T14" s="52"/>
      <c r="U14" s="52"/>
      <c r="V14" s="52"/>
      <c r="W14" s="52"/>
      <c r="X14" s="52"/>
    </row>
    <row r="15" spans="1:24" ht="18" thickBot="1" x14ac:dyDescent="0.3">
      <c r="A15" s="62">
        <v>14</v>
      </c>
      <c r="B15" s="62" t="s">
        <v>159</v>
      </c>
      <c r="C15" s="20">
        <v>75</v>
      </c>
      <c r="T15" s="52"/>
      <c r="U15" s="52"/>
      <c r="V15" s="52"/>
      <c r="W15" s="52"/>
      <c r="X15" s="52"/>
    </row>
    <row r="16" spans="1:24" ht="18" thickBot="1" x14ac:dyDescent="0.3">
      <c r="A16" s="61">
        <v>15</v>
      </c>
      <c r="B16" s="61" t="s">
        <v>160</v>
      </c>
      <c r="C16" s="20">
        <v>84</v>
      </c>
      <c r="T16" s="52"/>
      <c r="U16" s="52"/>
      <c r="V16" s="52"/>
      <c r="W16" s="52"/>
      <c r="X16" s="52"/>
    </row>
    <row r="17" spans="1:3" ht="18" thickBot="1" x14ac:dyDescent="0.3">
      <c r="A17" s="61">
        <v>16</v>
      </c>
      <c r="B17" s="61" t="s">
        <v>113</v>
      </c>
      <c r="C17" s="20">
        <v>79</v>
      </c>
    </row>
    <row r="18" spans="1:3" ht="18" thickBot="1" x14ac:dyDescent="0.3">
      <c r="A18" s="62">
        <v>17</v>
      </c>
      <c r="B18" s="62" t="s">
        <v>157</v>
      </c>
      <c r="C18" s="20">
        <v>48</v>
      </c>
    </row>
    <row r="19" spans="1:3" ht="18" thickBot="1" x14ac:dyDescent="0.3">
      <c r="A19" s="61">
        <v>18</v>
      </c>
      <c r="B19" s="61" t="s">
        <v>158</v>
      </c>
      <c r="C19" s="20">
        <v>72</v>
      </c>
    </row>
    <row r="20" spans="1:3" ht="18" thickBot="1" x14ac:dyDescent="0.3">
      <c r="A20" s="62">
        <v>19</v>
      </c>
      <c r="B20" s="61" t="s">
        <v>113</v>
      </c>
      <c r="C20" s="20">
        <v>87</v>
      </c>
    </row>
  </sheetData>
  <mergeCells count="1">
    <mergeCell ref="T8:X16"/>
  </mergeCells>
  <conditionalFormatting sqref="C2:C20">
    <cfRule type="cellIs" dxfId="10" priority="1" operator="lessThan">
      <formula>40</formula>
    </cfRule>
    <cfRule type="cellIs" dxfId="9" priority="2" operator="greaterThanOrEqual">
      <formula>75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9EEE-033C-4CFE-AF27-3D43598FCE81}">
  <dimension ref="A1:X20"/>
  <sheetViews>
    <sheetView tabSelected="1" workbookViewId="0">
      <selection activeCell="H11" sqref="H11"/>
    </sheetView>
  </sheetViews>
  <sheetFormatPr defaultRowHeight="15" x14ac:dyDescent="0.25"/>
  <sheetData>
    <row r="1" spans="1:24" ht="50.25" thickBot="1" x14ac:dyDescent="0.3">
      <c r="A1" s="63" t="s">
        <v>108</v>
      </c>
      <c r="B1" s="63" t="s">
        <v>3</v>
      </c>
    </row>
    <row r="2" spans="1:24" ht="17.25" thickBot="1" x14ac:dyDescent="0.3">
      <c r="A2" s="64" t="s">
        <v>162</v>
      </c>
      <c r="B2" s="64">
        <v>28000</v>
      </c>
    </row>
    <row r="3" spans="1:24" ht="17.25" thickBot="1" x14ac:dyDescent="0.3">
      <c r="A3" s="65" t="s">
        <v>163</v>
      </c>
      <c r="B3" s="66">
        <v>34000</v>
      </c>
    </row>
    <row r="4" spans="1:24" ht="17.25" thickBot="1" x14ac:dyDescent="0.3">
      <c r="A4" s="64" t="s">
        <v>164</v>
      </c>
      <c r="B4" s="64">
        <v>51000</v>
      </c>
    </row>
    <row r="5" spans="1:24" ht="17.25" thickBot="1" x14ac:dyDescent="0.3">
      <c r="A5" s="65" t="s">
        <v>165</v>
      </c>
      <c r="B5" s="65">
        <v>47000</v>
      </c>
    </row>
    <row r="6" spans="1:24" ht="17.25" thickBot="1" x14ac:dyDescent="0.3">
      <c r="A6" s="64" t="s">
        <v>166</v>
      </c>
      <c r="B6" s="64">
        <v>29000</v>
      </c>
      <c r="T6" s="51" t="s">
        <v>167</v>
      </c>
      <c r="U6" s="52"/>
      <c r="V6" s="52"/>
      <c r="W6" s="52"/>
      <c r="X6" s="52"/>
    </row>
    <row r="7" spans="1:24" ht="17.25" thickBot="1" x14ac:dyDescent="0.3">
      <c r="A7" s="64" t="s">
        <v>162</v>
      </c>
      <c r="B7" s="64">
        <v>42300</v>
      </c>
      <c r="T7" s="52"/>
      <c r="U7" s="52"/>
      <c r="V7" s="52"/>
      <c r="W7" s="52"/>
      <c r="X7" s="52"/>
    </row>
    <row r="8" spans="1:24" ht="17.25" thickBot="1" x14ac:dyDescent="0.3">
      <c r="A8" s="65" t="s">
        <v>163</v>
      </c>
      <c r="B8" s="65">
        <v>43800</v>
      </c>
      <c r="T8" s="52"/>
      <c r="U8" s="52"/>
      <c r="V8" s="52"/>
      <c r="W8" s="52"/>
      <c r="X8" s="52"/>
    </row>
    <row r="9" spans="1:24" ht="17.25" thickBot="1" x14ac:dyDescent="0.3">
      <c r="A9" s="64" t="s">
        <v>164</v>
      </c>
      <c r="B9" s="64">
        <v>45300</v>
      </c>
      <c r="T9" s="52"/>
      <c r="U9" s="52"/>
      <c r="V9" s="52"/>
      <c r="W9" s="52"/>
      <c r="X9" s="52"/>
    </row>
    <row r="10" spans="1:24" ht="17.25" thickBot="1" x14ac:dyDescent="0.3">
      <c r="A10" s="65" t="s">
        <v>165</v>
      </c>
      <c r="B10" s="65">
        <v>46800</v>
      </c>
      <c r="T10" s="52"/>
      <c r="U10" s="52"/>
      <c r="V10" s="52"/>
      <c r="W10" s="52"/>
      <c r="X10" s="52"/>
    </row>
    <row r="11" spans="1:24" ht="17.25" thickBot="1" x14ac:dyDescent="0.3">
      <c r="A11" s="64" t="s">
        <v>166</v>
      </c>
      <c r="B11" s="64">
        <v>48300</v>
      </c>
    </row>
    <row r="12" spans="1:24" ht="17.25" thickBot="1" x14ac:dyDescent="0.3">
      <c r="A12" s="64" t="s">
        <v>162</v>
      </c>
      <c r="B12" s="64">
        <v>49800</v>
      </c>
    </row>
    <row r="13" spans="1:24" ht="17.25" thickBot="1" x14ac:dyDescent="0.3">
      <c r="A13" s="65" t="s">
        <v>163</v>
      </c>
      <c r="B13" s="65">
        <v>51300</v>
      </c>
    </row>
    <row r="14" spans="1:24" ht="17.25" thickBot="1" x14ac:dyDescent="0.3">
      <c r="A14" s="64" t="s">
        <v>164</v>
      </c>
      <c r="B14" s="64">
        <v>52800</v>
      </c>
    </row>
    <row r="15" spans="1:24" ht="17.25" thickBot="1" x14ac:dyDescent="0.3">
      <c r="A15" s="65" t="s">
        <v>165</v>
      </c>
      <c r="B15" s="65">
        <v>54300</v>
      </c>
    </row>
    <row r="16" spans="1:24" ht="17.25" thickBot="1" x14ac:dyDescent="0.3">
      <c r="A16" s="64" t="s">
        <v>166</v>
      </c>
      <c r="B16" s="64">
        <v>55800</v>
      </c>
    </row>
    <row r="17" spans="1:2" ht="17.25" thickBot="1" x14ac:dyDescent="0.3">
      <c r="A17" s="64" t="s">
        <v>162</v>
      </c>
      <c r="B17" s="64">
        <v>57300</v>
      </c>
    </row>
    <row r="18" spans="1:2" ht="17.25" thickBot="1" x14ac:dyDescent="0.3">
      <c r="A18" s="65" t="s">
        <v>163</v>
      </c>
      <c r="B18" s="65">
        <v>58800</v>
      </c>
    </row>
    <row r="19" spans="1:2" ht="17.25" thickBot="1" x14ac:dyDescent="0.3">
      <c r="A19" s="64" t="s">
        <v>164</v>
      </c>
      <c r="B19" s="64">
        <v>60300</v>
      </c>
    </row>
    <row r="20" spans="1:2" ht="17.25" thickBot="1" x14ac:dyDescent="0.3">
      <c r="A20" s="65" t="s">
        <v>165</v>
      </c>
      <c r="B20" s="65">
        <v>61800</v>
      </c>
    </row>
  </sheetData>
  <mergeCells count="1">
    <mergeCell ref="T6:X10"/>
  </mergeCells>
  <conditionalFormatting sqref="B2:B20">
    <cfRule type="cellIs" dxfId="5" priority="3" operator="greaterThanOrEqual">
      <formula>50000</formula>
    </cfRule>
    <cfRule type="cellIs" dxfId="4" priority="2" operator="lessThan">
      <formula>30000</formula>
    </cfRule>
    <cfRule type="cellIs" dxfId="3" priority="1" operator="between">
      <formula>30000</formula>
      <formula>49999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</dc:creator>
  <cp:lastModifiedBy>ASDC2</cp:lastModifiedBy>
  <dcterms:created xsi:type="dcterms:W3CDTF">2026-01-24T13:56:16Z</dcterms:created>
  <dcterms:modified xsi:type="dcterms:W3CDTF">2026-01-25T04:47:52Z</dcterms:modified>
</cp:coreProperties>
</file>